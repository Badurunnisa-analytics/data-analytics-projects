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6C82CDD-D22F-4B51-BE6D-AA1AF377457A}" xr6:coauthVersionLast="47" xr6:coauthVersionMax="47" xr10:uidLastSave="{00000000-0000-0000-0000-000000000000}"/>
  <bookViews>
    <workbookView xWindow="-110" yWindow="-110" windowWidth="19420" windowHeight="10420" firstSheet="1" activeTab="1" xr2:uid="{F07F050C-23A2-4985-B83E-789A2E4C4525}"/>
  </bookViews>
  <sheets>
    <sheet name="Raw_Data" sheetId="1" r:id="rId1"/>
    <sheet name="Cleaned_Data" sheetId="3" r:id="rId2"/>
    <sheet name="Overall_Sales_By_Category" sheetId="13" r:id="rId3"/>
    <sheet name="Category_Wise_Sales_By_City" sheetId="15" r:id="rId4"/>
    <sheet name="City_Wise_Sales_Analysis" sheetId="5" r:id="rId5"/>
    <sheet name="Daily_Wise_Sales_Trend" sheetId="8" r:id="rId6"/>
    <sheet name="Top_5_Products_By_Sales" sheetId="11" r:id="rId7"/>
  </sheets>
  <definedNames>
    <definedName name="_xlcn.WorksheetConnection_Ecommercesales.xlsxTable31" hidden="1">Table3[]</definedName>
  </definedNames>
  <calcPr calcId="191029"/>
  <pivotCaches>
    <pivotCache cacheId="0" r:id="rId8"/>
    <pivotCache cacheId="1" r:id="rId9"/>
    <pivotCache cacheId="2" r:id="rId10"/>
    <pivotCache cacheId="3" r:id="rId11"/>
    <pivotCache cacheId="4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3" name="Table3" connection="WorksheetConnection_E-commerce sales.xlsx!Table3"/>
        </x15:modelTables>
        <x15:extLst>
          <ext xmlns:x16="http://schemas.microsoft.com/office/spreadsheetml/2014/11/main" uri="{9835A34E-60A6-4A7C-AAB8-D5F71C897F49}">
            <x16:modelTimeGroupings>
              <x16:modelTimeGrouping tableName="Table3" columnName="Order Date" columnId="Order Date">
                <x16:calculatedTimeColumn columnName="Order Date (Day Index)" columnId="Order Date (Day Index)" contentType="daysindex" isSelected="1"/>
                <x16:calculatedTimeColumn columnName="Order Date (Day)" columnId="Order Date (Day)" contentType="days" isSelected="1"/>
                <x16:calculatedTimeColumn columnName="Order Date (Hour)" columnId="Order Date (Hour)" contentType="hours" isSelected="1"/>
                <x16:calculatedTimeColumn columnName="Order Date (Minute)" columnId="Order Date (Minute)" contentType="minute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AEF139-4189-4D23-A0D4-2061EBBBFB9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E002DF9-8E75-4091-9A52-E36B37A7F135}" name="WorksheetConnection_E-commerce sales.xlsx!Table3" type="102" refreshedVersion="8" minRefreshableVersion="5">
    <extLst>
      <ext xmlns:x15="http://schemas.microsoft.com/office/spreadsheetml/2010/11/main" uri="{DE250136-89BD-433C-8126-D09CA5730AF9}">
        <x15:connection id="Table3" autoDelete="1">
          <x15:rangePr sourceName="_xlcn.WorksheetConnection_Ecommercesales.xlsxTable31"/>
        </x15:connection>
      </ext>
    </extLst>
  </connection>
</connections>
</file>

<file path=xl/sharedStrings.xml><?xml version="1.0" encoding="utf-8"?>
<sst xmlns="http://schemas.openxmlformats.org/spreadsheetml/2006/main" count="368" uniqueCount="173">
  <si>
    <t>Order ID</t>
  </si>
  <si>
    <t>Product</t>
  </si>
  <si>
    <t>Quantity Ordered</t>
  </si>
  <si>
    <t>Price Each</t>
  </si>
  <si>
    <t>Order Date</t>
  </si>
  <si>
    <t>Purchase Address</t>
  </si>
  <si>
    <t>USB-C Charging Cable</t>
  </si>
  <si>
    <t>917 1st St, Dallas, TX 75001</t>
  </si>
  <si>
    <t>Bose SoundSport Headphones</t>
  </si>
  <si>
    <t>682 Chestnut St, Boston, MA 02215</t>
  </si>
  <si>
    <t>Google Phone</t>
  </si>
  <si>
    <t>669 Spruce St, Los Angeles, CA 90001</t>
  </si>
  <si>
    <t>Wired Headphones</t>
  </si>
  <si>
    <t>333 8th St, Los Angeles, CA 90001</t>
  </si>
  <si>
    <t>381 Wilson St, San Francisco, CA 94016</t>
  </si>
  <si>
    <t>668 Center St, Seattle, WA 98101</t>
  </si>
  <si>
    <t>790 Ridge St, Atlanta, GA 30301</t>
  </si>
  <si>
    <t>Macbook Pro Laptop</t>
  </si>
  <si>
    <t>915 Willow St, San Francisco, CA 94016</t>
  </si>
  <si>
    <t>83 7th St, Boston, MA 02215</t>
  </si>
  <si>
    <t>444 7th St, Los Angeles, CA 90001</t>
  </si>
  <si>
    <t>Lightning Charging Cable</t>
  </si>
  <si>
    <t>438 Elm St, Seattle, WA 98101</t>
  </si>
  <si>
    <t>27in 4K Gaming Monitor</t>
  </si>
  <si>
    <t>657 Hill St, Dallas, TX 75001</t>
  </si>
  <si>
    <t>AA Batteries (4-pack)</t>
  </si>
  <si>
    <t>186 12th St, Dallas, TX 75001</t>
  </si>
  <si>
    <t>253 Johnson St, Atlanta, GA 30301</t>
  </si>
  <si>
    <t>Apple Airpods Headphones</t>
  </si>
  <si>
    <t>149 Dogwood St, New York City, NY 10001</t>
  </si>
  <si>
    <t>214 Chestnut St, San Francisco, CA 94016</t>
  </si>
  <si>
    <t>20 Hill St, Los Angeles, CA 90001</t>
  </si>
  <si>
    <t>AAA Batteries (4-pack)</t>
  </si>
  <si>
    <t>433 Hill St, New York City, NY 10001</t>
  </si>
  <si>
    <t>771 Ridge St, Los Angeles, CA 90001</t>
  </si>
  <si>
    <t>260 Spruce St, Dallas, TX 75001</t>
  </si>
  <si>
    <t>513 Church St, Boston, MA 02215</t>
  </si>
  <si>
    <t>886 Jefferson St, New York City, NY 10001</t>
  </si>
  <si>
    <t>886 Willow St, Los Angeles, CA 90001</t>
  </si>
  <si>
    <t>iPhone</t>
  </si>
  <si>
    <t>84 Jackson St, Boston, MA 02215</t>
  </si>
  <si>
    <t>178 Lincoln St, Atlanta, GA 30301</t>
  </si>
  <si>
    <t>146 Jackson St, Portland, OR 97035</t>
  </si>
  <si>
    <t>Flatscreen TV</t>
  </si>
  <si>
    <t>936 Church St, San Francisco, CA 94016</t>
  </si>
  <si>
    <t>823 Highland St, Boston, MA 02215</t>
  </si>
  <si>
    <t>365 Center St, San Francisco, CA 94016</t>
  </si>
  <si>
    <t>27in FHD Monitor</t>
  </si>
  <si>
    <t>557 5th St, Los Angeles, CA 90001</t>
  </si>
  <si>
    <t>20in Monitor</t>
  </si>
  <si>
    <t>765 Cherry St, Seattle, WA 98101</t>
  </si>
  <si>
    <t>846 Highland St, Atlanta, GA 30301</t>
  </si>
  <si>
    <t>873 6th St, New York City, NY 10001</t>
  </si>
  <si>
    <t>600 Maple St, Austin, TX 73301</t>
  </si>
  <si>
    <t>352 4th St, Los Angeles, CA 90001</t>
  </si>
  <si>
    <t>906 7th St, Portland, OR 97035</t>
  </si>
  <si>
    <t>63 Maple St, San Francisco, CA 94016</t>
  </si>
  <si>
    <t>383 6th St, Los Angeles, CA 90001</t>
  </si>
  <si>
    <t>572 Meadow St, Dallas, TX 75001</t>
  </si>
  <si>
    <t>681 11th St, San Francisco, CA 94016</t>
  </si>
  <si>
    <t>294 Park St, San Francisco, CA 94016</t>
  </si>
  <si>
    <t>279 Maple St, New York City, NY 10001</t>
  </si>
  <si>
    <t>87 West St, Boston, MA 02215</t>
  </si>
  <si>
    <t>754 10th St, Los Angeles, CA 90001</t>
  </si>
  <si>
    <t>9 Jefferson St, Dallas, TX 75001</t>
  </si>
  <si>
    <t>858 6th St, San Francisco, CA 94016</t>
  </si>
  <si>
    <t>462 11th St, San Francisco, CA 94016</t>
  </si>
  <si>
    <t>717 Pine St, San Francisco, CA 94016</t>
  </si>
  <si>
    <t>LG Dryer</t>
  </si>
  <si>
    <t>487 Maple St, San Francisco, CA 94016</t>
  </si>
  <si>
    <t>689 10th St, Boston, MA 02215</t>
  </si>
  <si>
    <t>15 Cherry St, San Francisco, CA 94016</t>
  </si>
  <si>
    <t>267 11th St, Austin, TX 73301</t>
  </si>
  <si>
    <t>382 River St, Dallas, TX 75001</t>
  </si>
  <si>
    <t>971 Sunset St, San Francisco, CA 94016</t>
  </si>
  <si>
    <t>149 North St, Seattle, WA 98101</t>
  </si>
  <si>
    <t>405 4th St, New York City, NY 10001</t>
  </si>
  <si>
    <t>647 Jackson St, San Francisco, CA 94016</t>
  </si>
  <si>
    <t>833 River St, Dallas, TX 75001</t>
  </si>
  <si>
    <t>380 Washington St, San Francisco, CA 94016</t>
  </si>
  <si>
    <t>319 8th St, Portland, OR 97035</t>
  </si>
  <si>
    <t>273 South St, San Francisco, CA 94016</t>
  </si>
  <si>
    <t>116 North St, Los Angeles, CA 90001</t>
  </si>
  <si>
    <t>994 Pine St, Los Angeles, CA 90001</t>
  </si>
  <si>
    <t>863 8th St, Boston, MA 02215</t>
  </si>
  <si>
    <t>983 11th St, San Francisco, CA 94016</t>
  </si>
  <si>
    <t>807 12th St, Atlanta, GA 30301</t>
  </si>
  <si>
    <t>664 Church St, Seattle, WA 98101</t>
  </si>
  <si>
    <t>858 5th St, San Francisco, CA 94016</t>
  </si>
  <si>
    <t>491 Chestnut St, Boston, MA 02215</t>
  </si>
  <si>
    <t>994 13th St, Atlanta, GA 30301</t>
  </si>
  <si>
    <t>628 Wilson St, Dallas, TX 75001</t>
  </si>
  <si>
    <t>101 Lincoln St, San Francisco, CA 94016</t>
  </si>
  <si>
    <t>770 Maple St, San Francisco, CA 94016</t>
  </si>
  <si>
    <t>292 Dogwood St, San Francisco, CA 94016</t>
  </si>
  <si>
    <t>814 Madison St, San Francisco, CA 94016</t>
  </si>
  <si>
    <t>ThinkPad Laptop</t>
  </si>
  <si>
    <t>863 Hickory St, Los Angeles, CA 90001</t>
  </si>
  <si>
    <t>311 Madison St, Atlanta, GA 30301</t>
  </si>
  <si>
    <t>Vareebadd Phone</t>
  </si>
  <si>
    <t>85 North St, San Francisco, CA 94016</t>
  </si>
  <si>
    <t>140 10th St, Boston, MA 02215</t>
  </si>
  <si>
    <t>261 Sunset St, New York City, NY 10001</t>
  </si>
  <si>
    <t>869 Cherry St, Boston, MA 02215</t>
  </si>
  <si>
    <t>853 Cedar St, San Francisco, CA 94016</t>
  </si>
  <si>
    <t>164 Lake St, San Francisco, CA 94016</t>
  </si>
  <si>
    <t>655 Sunset St, Boston, MA 02215</t>
  </si>
  <si>
    <t>72 Elm St, Portland, OR 97035</t>
  </si>
  <si>
    <t>373 Adams St, Boston, MA 02215</t>
  </si>
  <si>
    <t>962 7th St, Los Angeles, CA 90001</t>
  </si>
  <si>
    <t>514 Lake St, Dallas, TX 75001</t>
  </si>
  <si>
    <t>657 Adams St, Portland, OR 97035</t>
  </si>
  <si>
    <t>273 South St, Los Angeles, CA 90001</t>
  </si>
  <si>
    <t>732 2nd St, Portland, OR 97035</t>
  </si>
  <si>
    <t>702 11th St, San Francisco, CA 94016</t>
  </si>
  <si>
    <t>153 River St, Boston, MA 02215</t>
  </si>
  <si>
    <t>Total Amount</t>
  </si>
  <si>
    <t>Row Labels</t>
  </si>
  <si>
    <t>Grand Total</t>
  </si>
  <si>
    <t>Sum of Total Amount</t>
  </si>
  <si>
    <t>City</t>
  </si>
  <si>
    <t>Atlanta</t>
  </si>
  <si>
    <t>Austin</t>
  </si>
  <si>
    <t>Boston</t>
  </si>
  <si>
    <t>Dallas</t>
  </si>
  <si>
    <t>Los Angeles</t>
  </si>
  <si>
    <t>New York City</t>
  </si>
  <si>
    <t>Portland</t>
  </si>
  <si>
    <t>San Francisco</t>
  </si>
  <si>
    <t>Seattle</t>
  </si>
  <si>
    <t>Month</t>
  </si>
  <si>
    <t>1-Apr</t>
  </si>
  <si>
    <t>2-Apr</t>
  </si>
  <si>
    <t>3-Apr</t>
  </si>
  <si>
    <t>4-Apr</t>
  </si>
  <si>
    <t>5-Apr</t>
  </si>
  <si>
    <t>7-Apr</t>
  </si>
  <si>
    <t>8-Apr</t>
  </si>
  <si>
    <t>9-Apr</t>
  </si>
  <si>
    <t>10-Apr</t>
  </si>
  <si>
    <t>11-Apr</t>
  </si>
  <si>
    <t>12-Apr</t>
  </si>
  <si>
    <t>13-Apr</t>
  </si>
  <si>
    <t>14-Apr</t>
  </si>
  <si>
    <t>15-Apr</t>
  </si>
  <si>
    <t>16-Apr</t>
  </si>
  <si>
    <t>17-Apr</t>
  </si>
  <si>
    <t>18-Apr</t>
  </si>
  <si>
    <t>19-Apr</t>
  </si>
  <si>
    <t>20-Apr</t>
  </si>
  <si>
    <t>21-Apr</t>
  </si>
  <si>
    <t>22-Apr</t>
  </si>
  <si>
    <t>23-Apr</t>
  </si>
  <si>
    <t>24-Apr</t>
  </si>
  <si>
    <t>25-Apr</t>
  </si>
  <si>
    <t>26-Apr</t>
  </si>
  <si>
    <t>27-Apr</t>
  </si>
  <si>
    <t>28-Apr</t>
  </si>
  <si>
    <t>29-Apr</t>
  </si>
  <si>
    <t>30-Apr</t>
  </si>
  <si>
    <t>Category</t>
  </si>
  <si>
    <t>Accessories</t>
  </si>
  <si>
    <t>Laptop</t>
  </si>
  <si>
    <t>Electronics</t>
  </si>
  <si>
    <t>34in Ultrawide Monitor</t>
  </si>
  <si>
    <t>Monitor</t>
  </si>
  <si>
    <t>AAA Batteries(4-pack)</t>
  </si>
  <si>
    <t>AA Batteries(4-pack)</t>
  </si>
  <si>
    <t>Mobile</t>
  </si>
  <si>
    <t>Moblie</t>
  </si>
  <si>
    <t>Appliances</t>
  </si>
  <si>
    <t>Apr-2019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</si>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</sst>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[Ecommerce_Sales_Analysis.xlsx]Overall_Sales_By_Category!PivotTable11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Overall</a:t>
            </a:r>
            <a:r>
              <a:rPr lang="en-US" b="1" baseline="0">
                <a:solidFill>
                  <a:schemeClr val="tx1"/>
                </a:solidFill>
              </a:rPr>
              <a:t> Sales by Category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9452186006629649"/>
          <c:y val="2.85035629453681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859543453482658"/>
          <c:y val="0.13069968391718256"/>
          <c:w val="0.54343299569654036"/>
          <c:h val="0.779978678437166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Overall_Sales_By_Category!$C$12:$C$13</c:f>
              <c:strCache>
                <c:ptCount val="1"/>
                <c:pt idx="0">
                  <c:v>Accessories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Overall_Sales_By_Category!$B$14:$B$15</c:f>
              <c:strCache>
                <c:ptCount val="1"/>
                <c:pt idx="0">
                  <c:v>Apr-2019</c:v>
                </c:pt>
              </c:strCache>
            </c:strRef>
          </c:cat>
          <c:val>
            <c:numRef>
              <c:f>Overall_Sales_By_Category!$C$14:$C$15</c:f>
              <c:numCache>
                <c:formatCode>General</c:formatCode>
                <c:ptCount val="1"/>
                <c:pt idx="0">
                  <c:v>2749.64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FE-47E9-B82A-5E9632C52838}"/>
            </c:ext>
          </c:extLst>
        </c:ser>
        <c:ser>
          <c:idx val="1"/>
          <c:order val="1"/>
          <c:tx>
            <c:strRef>
              <c:f>Overall_Sales_By_Category!$D$12:$D$13</c:f>
              <c:strCache>
                <c:ptCount val="1"/>
                <c:pt idx="0">
                  <c:v>Appliances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Overall_Sales_By_Category!$B$14:$B$15</c:f>
              <c:strCache>
                <c:ptCount val="1"/>
                <c:pt idx="0">
                  <c:v>Apr-2019</c:v>
                </c:pt>
              </c:strCache>
            </c:strRef>
          </c:cat>
          <c:val>
            <c:numRef>
              <c:f>Overall_Sales_By_Category!$D$14:$D$15</c:f>
              <c:numCache>
                <c:formatCode>General</c:formatCode>
                <c:ptCount val="1"/>
                <c:pt idx="0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FE-47E9-B82A-5E9632C52838}"/>
            </c:ext>
          </c:extLst>
        </c:ser>
        <c:ser>
          <c:idx val="2"/>
          <c:order val="2"/>
          <c:tx>
            <c:strRef>
              <c:f>Overall_Sales_By_Category!$E$12:$E$13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Overall_Sales_By_Category!$B$14:$B$15</c:f>
              <c:strCache>
                <c:ptCount val="1"/>
                <c:pt idx="0">
                  <c:v>Apr-2019</c:v>
                </c:pt>
              </c:strCache>
            </c:strRef>
          </c:cat>
          <c:val>
            <c:numRef>
              <c:f>Overall_Sales_By_Category!$E$14:$E$15</c:f>
              <c:numCache>
                <c:formatCode>General</c:formatCode>
                <c:ptCount val="1"/>
                <c:pt idx="0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FE-47E9-B82A-5E9632C52838}"/>
            </c:ext>
          </c:extLst>
        </c:ser>
        <c:ser>
          <c:idx val="3"/>
          <c:order val="3"/>
          <c:tx>
            <c:strRef>
              <c:f>Overall_Sales_By_Category!$F$12:$F$13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Overall_Sales_By_Category!$B$14:$B$15</c:f>
              <c:strCache>
                <c:ptCount val="1"/>
                <c:pt idx="0">
                  <c:v>Apr-2019</c:v>
                </c:pt>
              </c:strCache>
            </c:strRef>
          </c:cat>
          <c:val>
            <c:numRef>
              <c:f>Overall_Sales_By_Category!$F$14:$F$15</c:f>
              <c:numCache>
                <c:formatCode>General</c:formatCode>
                <c:ptCount val="1"/>
                <c:pt idx="0">
                  <c:v>7799.99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FE-47E9-B82A-5E9632C52838}"/>
            </c:ext>
          </c:extLst>
        </c:ser>
        <c:ser>
          <c:idx val="4"/>
          <c:order val="4"/>
          <c:tx>
            <c:strRef>
              <c:f>Overall_Sales_By_Category!$G$12:$G$13</c:f>
              <c:strCache>
                <c:ptCount val="1"/>
                <c:pt idx="0">
                  <c:v>Mobile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Overall_Sales_By_Category!$B$14:$B$15</c:f>
              <c:strCache>
                <c:ptCount val="1"/>
                <c:pt idx="0">
                  <c:v>Apr-2019</c:v>
                </c:pt>
              </c:strCache>
            </c:strRef>
          </c:cat>
          <c:val>
            <c:numRef>
              <c:f>Overall_Sales_By_Category!$G$14:$G$15</c:f>
              <c:numCache>
                <c:formatCode>General</c:formatCode>
                <c:ptCount val="1"/>
                <c:pt idx="0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8FE-47E9-B82A-5E9632C52838}"/>
            </c:ext>
          </c:extLst>
        </c:ser>
        <c:ser>
          <c:idx val="5"/>
          <c:order val="5"/>
          <c:tx>
            <c:strRef>
              <c:f>Overall_Sales_By_Category!$H$12:$H$13</c:f>
              <c:strCache>
                <c:ptCount val="1"/>
                <c:pt idx="0">
                  <c:v>Monitor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Overall_Sales_By_Category!$B$14:$B$15</c:f>
              <c:strCache>
                <c:ptCount val="1"/>
                <c:pt idx="0">
                  <c:v>Apr-2019</c:v>
                </c:pt>
              </c:strCache>
            </c:strRef>
          </c:cat>
          <c:val>
            <c:numRef>
              <c:f>Overall_Sales_By_Category!$H$14:$H$15</c:f>
              <c:numCache>
                <c:formatCode>General</c:formatCode>
                <c:ptCount val="1"/>
                <c:pt idx="0">
                  <c:v>1339.94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FE-47E9-B82A-5E9632C528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75887"/>
        <c:axId val="1567688367"/>
      </c:barChart>
      <c:catAx>
        <c:axId val="156767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88367"/>
        <c:crosses val="autoZero"/>
        <c:auto val="1"/>
        <c:lblAlgn val="ctr"/>
        <c:lblOffset val="100"/>
        <c:noMultiLvlLbl val="0"/>
      </c:catAx>
      <c:valAx>
        <c:axId val="1567688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75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[Ecommerce_Sales_Analysis.xlsx]Category_Wise_Sales_By_City!PivotTable13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Sales by City</a:t>
            </a:r>
          </a:p>
        </c:rich>
      </c:tx>
      <c:layout>
        <c:manualLayout>
          <c:xMode val="edge"/>
          <c:yMode val="edge"/>
          <c:x val="0.25496182900995246"/>
          <c:y val="6.18556701030927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Category_Wise_Sales_By_City!$B$11:$B$12</c:f>
              <c:strCache>
                <c:ptCount val="1"/>
                <c:pt idx="0">
                  <c:v>Accessories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Category_Wise_Sales_By_City!$A$13:$A$22</c:f>
              <c:strCache>
                <c:ptCount val="9"/>
                <c:pt idx="0">
                  <c:v>Atlanta</c:v>
                </c:pt>
                <c:pt idx="1">
                  <c:v>Austin</c:v>
                </c:pt>
                <c:pt idx="2">
                  <c:v>Boston</c:v>
                </c:pt>
                <c:pt idx="3">
                  <c:v>Dallas</c:v>
                </c:pt>
                <c:pt idx="4">
                  <c:v>Los Angeles</c:v>
                </c:pt>
                <c:pt idx="5">
                  <c:v>New York City</c:v>
                </c:pt>
                <c:pt idx="6">
                  <c:v>Portland</c:v>
                </c:pt>
                <c:pt idx="7">
                  <c:v>San Francisco</c:v>
                </c:pt>
                <c:pt idx="8">
                  <c:v>Seattle</c:v>
                </c:pt>
              </c:strCache>
            </c:strRef>
          </c:cat>
          <c:val>
            <c:numRef>
              <c:f>Category_Wise_Sales_By_City!$B$13:$B$22</c:f>
              <c:numCache>
                <c:formatCode>General</c:formatCode>
                <c:ptCount val="9"/>
                <c:pt idx="0">
                  <c:v>168.78</c:v>
                </c:pt>
                <c:pt idx="1">
                  <c:v>300</c:v>
                </c:pt>
                <c:pt idx="2">
                  <c:v>628.57000000000005</c:v>
                </c:pt>
                <c:pt idx="3">
                  <c:v>399.5</c:v>
                </c:pt>
                <c:pt idx="4">
                  <c:v>281.64999999999998</c:v>
                </c:pt>
                <c:pt idx="5">
                  <c:v>198.67</c:v>
                </c:pt>
                <c:pt idx="6">
                  <c:v>189.72</c:v>
                </c:pt>
                <c:pt idx="7">
                  <c:v>313.97000000000003</c:v>
                </c:pt>
                <c:pt idx="8">
                  <c:v>268.77999999999997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C-49A6-8E65-63F8CB1196E0}"/>
            </c:ext>
          </c:extLst>
        </c:ser>
        <c:ser>
          <c:idx val="1"/>
          <c:order val="1"/>
          <c:tx>
            <c:strRef>
              <c:f>Category_Wise_Sales_By_City!$C$11:$C$12</c:f>
              <c:strCache>
                <c:ptCount val="1"/>
                <c:pt idx="0">
                  <c:v>Appliances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Category_Wise_Sales_By_City!$A$13:$A$22</c:f>
              <c:strCache>
                <c:ptCount val="9"/>
                <c:pt idx="0">
                  <c:v>Atlanta</c:v>
                </c:pt>
                <c:pt idx="1">
                  <c:v>Austin</c:v>
                </c:pt>
                <c:pt idx="2">
                  <c:v>Boston</c:v>
                </c:pt>
                <c:pt idx="3">
                  <c:v>Dallas</c:v>
                </c:pt>
                <c:pt idx="4">
                  <c:v>Los Angeles</c:v>
                </c:pt>
                <c:pt idx="5">
                  <c:v>New York City</c:v>
                </c:pt>
                <c:pt idx="6">
                  <c:v>Portland</c:v>
                </c:pt>
                <c:pt idx="7">
                  <c:v>San Francisco</c:v>
                </c:pt>
                <c:pt idx="8">
                  <c:v>Seattle</c:v>
                </c:pt>
              </c:strCache>
            </c:strRef>
          </c:cat>
          <c:val>
            <c:numRef>
              <c:f>Category_Wise_Sales_By_City!$C$13:$C$22</c:f>
              <c:numCache>
                <c:formatCode>General</c:formatCode>
                <c:ptCount val="9"/>
                <c:pt idx="7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EC-49A6-8E65-63F8CB1196E0}"/>
            </c:ext>
          </c:extLst>
        </c:ser>
        <c:ser>
          <c:idx val="2"/>
          <c:order val="2"/>
          <c:tx>
            <c:strRef>
              <c:f>Category_Wise_Sales_By_City!$D$11:$D$12</c:f>
              <c:strCache>
                <c:ptCount val="1"/>
                <c:pt idx="0">
                  <c:v>Electronics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Category_Wise_Sales_By_City!$A$13:$A$22</c:f>
              <c:strCache>
                <c:ptCount val="9"/>
                <c:pt idx="0">
                  <c:v>Atlanta</c:v>
                </c:pt>
                <c:pt idx="1">
                  <c:v>Austin</c:v>
                </c:pt>
                <c:pt idx="2">
                  <c:v>Boston</c:v>
                </c:pt>
                <c:pt idx="3">
                  <c:v>Dallas</c:v>
                </c:pt>
                <c:pt idx="4">
                  <c:v>Los Angeles</c:v>
                </c:pt>
                <c:pt idx="5">
                  <c:v>New York City</c:v>
                </c:pt>
                <c:pt idx="6">
                  <c:v>Portland</c:v>
                </c:pt>
                <c:pt idx="7">
                  <c:v>San Francisco</c:v>
                </c:pt>
                <c:pt idx="8">
                  <c:v>Seattle</c:v>
                </c:pt>
              </c:strCache>
            </c:strRef>
          </c:cat>
          <c:val>
            <c:numRef>
              <c:f>Category_Wise_Sales_By_City!$D$13:$D$22</c:f>
              <c:numCache>
                <c:formatCode>General</c:formatCode>
                <c:ptCount val="9"/>
                <c:pt idx="4">
                  <c:v>300</c:v>
                </c:pt>
                <c:pt idx="7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EC-49A6-8E65-63F8CB1196E0}"/>
            </c:ext>
          </c:extLst>
        </c:ser>
        <c:ser>
          <c:idx val="3"/>
          <c:order val="3"/>
          <c:tx>
            <c:strRef>
              <c:f>Category_Wise_Sales_By_City!$E$11:$E$12</c:f>
              <c:strCache>
                <c:ptCount val="1"/>
                <c:pt idx="0">
                  <c:v>Laptop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Category_Wise_Sales_By_City!$A$13:$A$22</c:f>
              <c:strCache>
                <c:ptCount val="9"/>
                <c:pt idx="0">
                  <c:v>Atlanta</c:v>
                </c:pt>
                <c:pt idx="1">
                  <c:v>Austin</c:v>
                </c:pt>
                <c:pt idx="2">
                  <c:v>Boston</c:v>
                </c:pt>
                <c:pt idx="3">
                  <c:v>Dallas</c:v>
                </c:pt>
                <c:pt idx="4">
                  <c:v>Los Angeles</c:v>
                </c:pt>
                <c:pt idx="5">
                  <c:v>New York City</c:v>
                </c:pt>
                <c:pt idx="6">
                  <c:v>Portland</c:v>
                </c:pt>
                <c:pt idx="7">
                  <c:v>San Francisco</c:v>
                </c:pt>
                <c:pt idx="8">
                  <c:v>Seattle</c:v>
                </c:pt>
              </c:strCache>
            </c:strRef>
          </c:cat>
          <c:val>
            <c:numRef>
              <c:f>Category_Wise_Sales_By_City!$E$13:$E$22</c:f>
              <c:numCache>
                <c:formatCode>General</c:formatCode>
                <c:ptCount val="9"/>
                <c:pt idx="2">
                  <c:v>1700</c:v>
                </c:pt>
                <c:pt idx="4">
                  <c:v>999.99</c:v>
                </c:pt>
                <c:pt idx="6">
                  <c:v>1700</c:v>
                </c:pt>
                <c:pt idx="7">
                  <c:v>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EC-49A6-8E65-63F8CB1196E0}"/>
            </c:ext>
          </c:extLst>
        </c:ser>
        <c:ser>
          <c:idx val="4"/>
          <c:order val="4"/>
          <c:tx>
            <c:strRef>
              <c:f>Category_Wise_Sales_By_City!$F$11:$F$12</c:f>
              <c:strCache>
                <c:ptCount val="1"/>
                <c:pt idx="0">
                  <c:v>Mobile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Category_Wise_Sales_By_City!$A$13:$A$22</c:f>
              <c:strCache>
                <c:ptCount val="9"/>
                <c:pt idx="0">
                  <c:v>Atlanta</c:v>
                </c:pt>
                <c:pt idx="1">
                  <c:v>Austin</c:v>
                </c:pt>
                <c:pt idx="2">
                  <c:v>Boston</c:v>
                </c:pt>
                <c:pt idx="3">
                  <c:v>Dallas</c:v>
                </c:pt>
                <c:pt idx="4">
                  <c:v>Los Angeles</c:v>
                </c:pt>
                <c:pt idx="5">
                  <c:v>New York City</c:v>
                </c:pt>
                <c:pt idx="6">
                  <c:v>Portland</c:v>
                </c:pt>
                <c:pt idx="7">
                  <c:v>San Francisco</c:v>
                </c:pt>
                <c:pt idx="8">
                  <c:v>Seattle</c:v>
                </c:pt>
              </c:strCache>
            </c:strRef>
          </c:cat>
          <c:val>
            <c:numRef>
              <c:f>Category_Wise_Sales_By_City!$F$13:$F$22</c:f>
              <c:numCache>
                <c:formatCode>General</c:formatCode>
                <c:ptCount val="9"/>
                <c:pt idx="2">
                  <c:v>700</c:v>
                </c:pt>
                <c:pt idx="4">
                  <c:v>2400</c:v>
                </c:pt>
                <c:pt idx="5">
                  <c:v>600</c:v>
                </c:pt>
                <c:pt idx="7">
                  <c:v>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EC-49A6-8E65-63F8CB1196E0}"/>
            </c:ext>
          </c:extLst>
        </c:ser>
        <c:ser>
          <c:idx val="5"/>
          <c:order val="5"/>
          <c:tx>
            <c:strRef>
              <c:f>Category_Wise_Sales_By_City!$G$11:$G$12</c:f>
              <c:strCache>
                <c:ptCount val="1"/>
                <c:pt idx="0">
                  <c:v>Monitor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Category_Wise_Sales_By_City!$A$13:$A$22</c:f>
              <c:strCache>
                <c:ptCount val="9"/>
                <c:pt idx="0">
                  <c:v>Atlanta</c:v>
                </c:pt>
                <c:pt idx="1">
                  <c:v>Austin</c:v>
                </c:pt>
                <c:pt idx="2">
                  <c:v>Boston</c:v>
                </c:pt>
                <c:pt idx="3">
                  <c:v>Dallas</c:v>
                </c:pt>
                <c:pt idx="4">
                  <c:v>Los Angeles</c:v>
                </c:pt>
                <c:pt idx="5">
                  <c:v>New York City</c:v>
                </c:pt>
                <c:pt idx="6">
                  <c:v>Portland</c:v>
                </c:pt>
                <c:pt idx="7">
                  <c:v>San Francisco</c:v>
                </c:pt>
                <c:pt idx="8">
                  <c:v>Seattle</c:v>
                </c:pt>
              </c:strCache>
            </c:strRef>
          </c:cat>
          <c:val>
            <c:numRef>
              <c:f>Category_Wise_Sales_By_City!$G$13:$G$22</c:f>
              <c:numCache>
                <c:formatCode>General</c:formatCode>
                <c:ptCount val="9"/>
                <c:pt idx="0">
                  <c:v>149.99</c:v>
                </c:pt>
                <c:pt idx="2">
                  <c:v>389.99</c:v>
                </c:pt>
                <c:pt idx="3">
                  <c:v>389.99</c:v>
                </c:pt>
                <c:pt idx="4">
                  <c:v>149.99</c:v>
                </c:pt>
                <c:pt idx="6">
                  <c:v>149.99</c:v>
                </c:pt>
                <c:pt idx="8">
                  <c:v>109.99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BEC-49A6-8E65-63F8CB119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48323119"/>
        <c:axId val="148348559"/>
      </c:barChart>
      <c:catAx>
        <c:axId val="148323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48559"/>
        <c:crosses val="autoZero"/>
        <c:auto val="1"/>
        <c:lblAlgn val="ctr"/>
        <c:lblOffset val="100"/>
        <c:noMultiLvlLbl val="0"/>
      </c:catAx>
      <c:valAx>
        <c:axId val="148348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23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[Ecommerce_Sales_Analysis.xlsx]City_Wise_Sales_Analysis!PivotTable4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Top</a:t>
            </a:r>
            <a:r>
              <a:rPr lang="en-US" sz="1600" b="1" baseline="0">
                <a:solidFill>
                  <a:schemeClr val="tx1"/>
                </a:solidFill>
              </a:rPr>
              <a:t> 5 Cities by Sales</a:t>
            </a:r>
            <a:endParaRPr lang="en-US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3159011373578301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/>
              </a:gs>
              <a:gs pos="100000">
                <a:schemeClr val="accent2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6666666666666666E-2"/>
          <c:y val="0.24682669874599009"/>
          <c:w val="0.82474518810148734"/>
          <c:h val="0.526794619422572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City_Wise_Sales_Analysis!$B$10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City_Wise_Sales_Analysis!$A$11:$A$16</c:f>
              <c:strCache>
                <c:ptCount val="5"/>
                <c:pt idx="0">
                  <c:v>San Francisco</c:v>
                </c:pt>
                <c:pt idx="1">
                  <c:v>Los Angeles</c:v>
                </c:pt>
                <c:pt idx="2">
                  <c:v>Boston</c:v>
                </c:pt>
                <c:pt idx="3">
                  <c:v>Portland</c:v>
                </c:pt>
                <c:pt idx="4">
                  <c:v>New York City</c:v>
                </c:pt>
              </c:strCache>
            </c:strRef>
          </c:cat>
          <c:val>
            <c:numRef>
              <c:f>City_Wise_Sales_Analysis!$B$11:$B$16</c:f>
              <c:numCache>
                <c:formatCode>General</c:formatCode>
                <c:ptCount val="5"/>
                <c:pt idx="0">
                  <c:v>6913.97</c:v>
                </c:pt>
                <c:pt idx="1">
                  <c:v>4131.63</c:v>
                </c:pt>
                <c:pt idx="2">
                  <c:v>3418.56</c:v>
                </c:pt>
                <c:pt idx="3">
                  <c:v>2039.71</c:v>
                </c:pt>
                <c:pt idx="4">
                  <c:v>798.67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C0-492B-B8E1-EA1819BA255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567695087"/>
        <c:axId val="1567666287"/>
      </c:barChart>
      <c:catAx>
        <c:axId val="1567695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66287"/>
        <c:crosses val="autoZero"/>
        <c:auto val="1"/>
        <c:lblAlgn val="ctr"/>
        <c:lblOffset val="100"/>
        <c:noMultiLvlLbl val="0"/>
      </c:catAx>
      <c:valAx>
        <c:axId val="15676662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67695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[Ecommerce_Sales_Analysis.xlsx]Daily_Wise_Sales_Trend!PivotTable7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Day-wise Sales Trend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Daily_Wise_Sales_Trend!$B$10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Daily_Wise_Sales_Trend!$A$11:$A$40</c:f>
              <c:strCache>
                <c:ptCount val="29"/>
                <c:pt idx="0">
                  <c:v>1-Apr</c:v>
                </c:pt>
                <c:pt idx="1">
                  <c:v>2-Apr</c:v>
                </c:pt>
                <c:pt idx="2">
                  <c:v>3-Apr</c:v>
                </c:pt>
                <c:pt idx="3">
                  <c:v>4-Apr</c:v>
                </c:pt>
                <c:pt idx="4">
                  <c:v>5-Apr</c:v>
                </c:pt>
                <c:pt idx="5">
                  <c:v>7-Apr</c:v>
                </c:pt>
                <c:pt idx="6">
                  <c:v>8-Apr</c:v>
                </c:pt>
                <c:pt idx="7">
                  <c:v>9-Apr</c:v>
                </c:pt>
                <c:pt idx="8">
                  <c:v>10-Apr</c:v>
                </c:pt>
                <c:pt idx="9">
                  <c:v>11-Apr</c:v>
                </c:pt>
                <c:pt idx="10">
                  <c:v>12-Apr</c:v>
                </c:pt>
                <c:pt idx="11">
                  <c:v>13-Apr</c:v>
                </c:pt>
                <c:pt idx="12">
                  <c:v>14-Apr</c:v>
                </c:pt>
                <c:pt idx="13">
                  <c:v>15-Apr</c:v>
                </c:pt>
                <c:pt idx="14">
                  <c:v>16-Apr</c:v>
                </c:pt>
                <c:pt idx="15">
                  <c:v>17-Apr</c:v>
                </c:pt>
                <c:pt idx="16">
                  <c:v>18-Apr</c:v>
                </c:pt>
                <c:pt idx="17">
                  <c:v>19-Apr</c:v>
                </c:pt>
                <c:pt idx="18">
                  <c:v>20-Apr</c:v>
                </c:pt>
                <c:pt idx="19">
                  <c:v>21-Apr</c:v>
                </c:pt>
                <c:pt idx="20">
                  <c:v>22-Apr</c:v>
                </c:pt>
                <c:pt idx="21">
                  <c:v>23-Apr</c:v>
                </c:pt>
                <c:pt idx="22">
                  <c:v>24-Apr</c:v>
                </c:pt>
                <c:pt idx="23">
                  <c:v>25-Apr</c:v>
                </c:pt>
                <c:pt idx="24">
                  <c:v>26-Apr</c:v>
                </c:pt>
                <c:pt idx="25">
                  <c:v>27-Apr</c:v>
                </c:pt>
                <c:pt idx="26">
                  <c:v>28-Apr</c:v>
                </c:pt>
                <c:pt idx="27">
                  <c:v>29-Apr</c:v>
                </c:pt>
                <c:pt idx="28">
                  <c:v>30-Apr</c:v>
                </c:pt>
              </c:strCache>
            </c:strRef>
          </c:cat>
          <c:val>
            <c:numRef>
              <c:f>Daily_Wise_Sales_Trend!$B$11:$B$40</c:f>
              <c:numCache>
                <c:formatCode>General</c:formatCode>
                <c:ptCount val="29"/>
                <c:pt idx="0">
                  <c:v>111.94</c:v>
                </c:pt>
                <c:pt idx="1">
                  <c:v>269.85000000000002</c:v>
                </c:pt>
                <c:pt idx="2">
                  <c:v>611.95000000000005</c:v>
                </c:pt>
                <c:pt idx="3">
                  <c:v>464.95</c:v>
                </c:pt>
                <c:pt idx="4">
                  <c:v>23.9</c:v>
                </c:pt>
                <c:pt idx="5">
                  <c:v>303.81</c:v>
                </c:pt>
                <c:pt idx="6">
                  <c:v>11.99</c:v>
                </c:pt>
                <c:pt idx="7">
                  <c:v>861.95</c:v>
                </c:pt>
                <c:pt idx="8">
                  <c:v>1220.93</c:v>
                </c:pt>
                <c:pt idx="9">
                  <c:v>1487.58</c:v>
                </c:pt>
                <c:pt idx="10">
                  <c:v>638.89</c:v>
                </c:pt>
                <c:pt idx="11">
                  <c:v>11.95</c:v>
                </c:pt>
                <c:pt idx="12">
                  <c:v>2.99</c:v>
                </c:pt>
                <c:pt idx="13">
                  <c:v>86.7</c:v>
                </c:pt>
                <c:pt idx="14">
                  <c:v>689.99</c:v>
                </c:pt>
                <c:pt idx="15">
                  <c:v>30.77</c:v>
                </c:pt>
                <c:pt idx="16">
                  <c:v>635.88</c:v>
                </c:pt>
                <c:pt idx="17">
                  <c:v>50.8</c:v>
                </c:pt>
                <c:pt idx="18">
                  <c:v>167.92</c:v>
                </c:pt>
                <c:pt idx="19">
                  <c:v>1367.97</c:v>
                </c:pt>
                <c:pt idx="20">
                  <c:v>1703.84</c:v>
                </c:pt>
                <c:pt idx="21">
                  <c:v>1011.94</c:v>
                </c:pt>
                <c:pt idx="22">
                  <c:v>2167.92</c:v>
                </c:pt>
                <c:pt idx="23">
                  <c:v>164.95</c:v>
                </c:pt>
                <c:pt idx="24">
                  <c:v>435.86</c:v>
                </c:pt>
                <c:pt idx="25">
                  <c:v>2000.86</c:v>
                </c:pt>
                <c:pt idx="26">
                  <c:v>1853.84</c:v>
                </c:pt>
                <c:pt idx="27">
                  <c:v>161.94</c:v>
                </c:pt>
                <c:pt idx="28">
                  <c:v>535.71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94-4C4F-B770-9A2CF062F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502926575"/>
        <c:axId val="1502921775"/>
      </c:lineChart>
      <c:catAx>
        <c:axId val="150292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921775"/>
        <c:crosses val="autoZero"/>
        <c:auto val="1"/>
        <c:lblAlgn val="ctr"/>
        <c:lblOffset val="100"/>
        <c:noMultiLvlLbl val="0"/>
      </c:catAx>
      <c:valAx>
        <c:axId val="1502921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92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[Ecommerce_Sales_Analysis.xlsx]Top_5_Products_By_Sales!PivotTable9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Products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Top_5_Products_By_Sales!$B$10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Top_5_Products_By_Sales!$A$11:$A$16</c:f>
              <c:strCache>
                <c:ptCount val="5"/>
                <c:pt idx="0">
                  <c:v>ThinkPad Laptop</c:v>
                </c:pt>
                <c:pt idx="1">
                  <c:v>Apple Airpods Headphones</c:v>
                </c:pt>
                <c:pt idx="2">
                  <c:v>iPhone</c:v>
                </c:pt>
                <c:pt idx="3">
                  <c:v>Google Phone</c:v>
                </c:pt>
                <c:pt idx="4">
                  <c:v>Macbook Pro Laptop</c:v>
                </c:pt>
              </c:strCache>
            </c:strRef>
          </c:cat>
          <c:val>
            <c:numRef>
              <c:f>Top_5_Products_By_Sales!$B$11:$B$16</c:f>
              <c:numCache>
                <c:formatCode>0</c:formatCode>
                <c:ptCount val="5"/>
                <c:pt idx="0">
                  <c:v>999.99</c:v>
                </c:pt>
                <c:pt idx="1">
                  <c:v>1350</c:v>
                </c:pt>
                <c:pt idx="2">
                  <c:v>1400</c:v>
                </c:pt>
                <c:pt idx="3">
                  <c:v>4200</c:v>
                </c:pt>
                <c:pt idx="4">
                  <c:v>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58-41B6-8B32-17EF188FB9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567671567"/>
        <c:axId val="1567690287"/>
      </c:barChart>
      <c:catAx>
        <c:axId val="1567671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90287"/>
        <c:crosses val="autoZero"/>
        <c:auto val="1"/>
        <c:lblAlgn val="ctr"/>
        <c:lblOffset val="100"/>
        <c:noMultiLvlLbl val="0"/>
      </c:catAx>
      <c:valAx>
        <c:axId val="1567690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71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609600</xdr:colOff>
      <xdr:row>1</xdr:row>
      <xdr:rowOff>12700</xdr:rowOff>
    </xdr:from>
    <xdr:to>
      <xdr:col>6</xdr:col>
      <xdr:colOff>222250</xdr:colOff>
      <xdr:row>3</xdr:row>
      <xdr:rowOff>127000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D1BF6D5-BCE5-B5D2-69C8-1CD79B352B49}"/>
            </a:ext>
          </a:extLst>
        </xdr:cNvPr>
        <xdr:cNvSpPr txBox="1"/>
      </xdr:nvSpPr>
      <xdr:spPr>
        <a:xfrm>
          <a:off x="609600" y="196850"/>
          <a:ext cx="6559550" cy="482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This sheet contains cleaned and structured data used for all pivot analysis and visualizations</a:t>
          </a:r>
          <a:r>
            <a:rPr lang="en-US"/>
            <a:t>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393700</xdr:colOff>
      <xdr:row>16</xdr:row>
      <xdr:rowOff>107950</xdr:rowOff>
    </xdr:from>
    <xdr:to>
      <xdr:col>9</xdr:col>
      <xdr:colOff>1041400</xdr:colOff>
      <xdr:row>30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5F2260-2C03-B6FF-6176-BD9E0B051E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1073150</xdr:colOff>
      <xdr:row>0</xdr:row>
      <xdr:rowOff>44450</xdr:rowOff>
    </xdr:from>
    <xdr:to>
      <xdr:col>7</xdr:col>
      <xdr:colOff>133350</xdr:colOff>
      <xdr:row>2</xdr:row>
      <xdr:rowOff>82550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F580930-63C9-AAF2-8CC3-5610E3060661}"/>
            </a:ext>
          </a:extLst>
        </xdr:cNvPr>
        <xdr:cNvSpPr txBox="1"/>
      </xdr:nvSpPr>
      <xdr:spPr>
        <a:xfrm>
          <a:off x="2343150" y="44450"/>
          <a:ext cx="3117850" cy="406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accent5">
                  <a:lumMod val="60000"/>
                  <a:lumOff val="40000"/>
                </a:schemeClr>
              </a:solidFill>
            </a:rPr>
            <a:t>Overall_Sales_By_Category </a:t>
          </a:r>
        </a:p>
      </xdr:txBody>
    </xdr:sp>
    <xdr:clientData/>
  </xdr:twoCellAnchor>
  <xdr:oneCellAnchor>
    <xdr:from>
      <xdr:col>1</xdr:col>
      <xdr:colOff>1079500</xdr:colOff>
      <xdr:row>0</xdr:row>
      <xdr:rowOff>139700</xdr:rowOff>
    </xdr:from>
    <xdr:ext cx="101019" cy="40640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BB48D4A-9583-4DC9-AA57-97C2593B23AA}"/>
            </a:ext>
          </a:extLst>
        </xdr:cNvPr>
        <xdr:cNvSpPr txBox="1"/>
      </xdr:nvSpPr>
      <xdr:spPr>
        <a:xfrm flipH="1">
          <a:off x="2349500" y="139700"/>
          <a:ext cx="101019" cy="406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0</xdr:col>
      <xdr:colOff>831850</xdr:colOff>
      <xdr:row>2</xdr:row>
      <xdr:rowOff>177800</xdr:rowOff>
    </xdr:from>
    <xdr:to>
      <xdr:col>9</xdr:col>
      <xdr:colOff>774700</xdr:colOff>
      <xdr:row>5</xdr:row>
      <xdr:rowOff>44450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0BD3E00-C73B-5319-7365-D041E82CC562}"/>
            </a:ext>
          </a:extLst>
        </xdr:cNvPr>
        <xdr:cNvSpPr txBox="1"/>
      </xdr:nvSpPr>
      <xdr:spPr>
        <a:xfrm>
          <a:off x="831850" y="546100"/>
          <a:ext cx="6718300" cy="419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This overview compares total sales across categories to understand which product segments contribute the most.</a:t>
          </a:r>
          <a:endParaRPr lang="en-US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133350</xdr:colOff>
      <xdr:row>10</xdr:row>
      <xdr:rowOff>19050</xdr:rowOff>
    </xdr:from>
    <xdr:to>
      <xdr:col>13</xdr:col>
      <xdr:colOff>101600</xdr:colOff>
      <xdr:row>21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9F8E6D-0EB3-F46E-3DD9-F6BD7A94E8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825500</xdr:colOff>
      <xdr:row>0</xdr:row>
      <xdr:rowOff>38100</xdr:rowOff>
    </xdr:from>
    <xdr:to>
      <xdr:col>8</xdr:col>
      <xdr:colOff>101600</xdr:colOff>
      <xdr:row>2</xdr:row>
      <xdr:rowOff>44450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0392EEE-DDDD-ADCC-9F84-F7494E06E4BF}"/>
            </a:ext>
          </a:extLst>
        </xdr:cNvPr>
        <xdr:cNvSpPr txBox="1"/>
      </xdr:nvSpPr>
      <xdr:spPr>
        <a:xfrm>
          <a:off x="2095500" y="38100"/>
          <a:ext cx="4057650" cy="374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accent1">
                  <a:lumMod val="60000"/>
                  <a:lumOff val="40000"/>
                </a:schemeClr>
              </a:solidFill>
            </a:rPr>
            <a:t>City-wise Sales Analysis using Pivot Table</a:t>
          </a:r>
        </a:p>
      </xdr:txBody>
    </xdr:sp>
    <xdr:clientData/>
  </xdr:twoCellAnchor>
  <xdr:twoCellAnchor>
    <xdr:from>
      <xdr:col>0</xdr:col>
      <xdr:colOff>825500</xdr:colOff>
      <xdr:row>2</xdr:row>
      <xdr:rowOff>158750</xdr:rowOff>
    </xdr:from>
    <xdr:to>
      <xdr:col>10</xdr:col>
      <xdr:colOff>355600</xdr:colOff>
      <xdr:row>5</xdr:row>
      <xdr:rowOff>25400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E5C77CE-21AC-E59F-C3DF-DF14D16459DE}"/>
            </a:ext>
          </a:extLst>
        </xdr:cNvPr>
        <xdr:cNvSpPr txBox="1"/>
      </xdr:nvSpPr>
      <xdr:spPr>
        <a:xfrm>
          <a:off x="825500" y="527050"/>
          <a:ext cx="6915150" cy="419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This analysis shows how different product categories perform across cities, helping identify regional preferences.</a:t>
          </a:r>
          <a:endParaRPr lang="en-US" sz="11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574675</xdr:colOff>
      <xdr:row>8</xdr:row>
      <xdr:rowOff>63500</xdr:rowOff>
    </xdr:from>
    <xdr:to>
      <xdr:col>10</xdr:col>
      <xdr:colOff>269875</xdr:colOff>
      <xdr:row>23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3F47A2-889F-E646-00CF-70A1505CAF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387350</xdr:colOff>
      <xdr:row>2</xdr:row>
      <xdr:rowOff>152400</xdr:rowOff>
    </xdr:from>
    <xdr:to>
      <xdr:col>11</xdr:col>
      <xdr:colOff>234950</xdr:colOff>
      <xdr:row>5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42B197B-8C4D-44F9-BB0B-48950A92DAF5}"/>
            </a:ext>
          </a:extLst>
        </xdr:cNvPr>
        <xdr:cNvSpPr txBox="1"/>
      </xdr:nvSpPr>
      <xdr:spPr>
        <a:xfrm>
          <a:off x="387350" y="520700"/>
          <a:ext cx="7473950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This analysis helps identify high-revenue cities and understand where the business is performing strongest geographically.</a:t>
          </a:r>
          <a:endParaRPr lang="en-US" sz="1100" b="1"/>
        </a:p>
      </xdr:txBody>
    </xdr:sp>
    <xdr:clientData/>
  </xdr:twoCellAnchor>
  <xdr:twoCellAnchor>
    <xdr:from>
      <xdr:col>1</xdr:col>
      <xdr:colOff>1123950</xdr:colOff>
      <xdr:row>0</xdr:row>
      <xdr:rowOff>38100</xdr:rowOff>
    </xdr:from>
    <xdr:to>
      <xdr:col>5</xdr:col>
      <xdr:colOff>546100</xdr:colOff>
      <xdr:row>2</xdr:row>
      <xdr:rowOff>38100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732D0EF-FD5E-C46F-FBF4-44195D9CC9E3}"/>
            </a:ext>
          </a:extLst>
        </xdr:cNvPr>
        <xdr:cNvSpPr txBox="1"/>
      </xdr:nvSpPr>
      <xdr:spPr>
        <a:xfrm>
          <a:off x="1993900" y="38100"/>
          <a:ext cx="2520950" cy="36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accent2"/>
              </a:solidFill>
            </a:rPr>
            <a:t>City Wise Sales</a:t>
          </a:r>
          <a:r>
            <a:rPr lang="en-US" sz="1600" b="1" baseline="0">
              <a:solidFill>
                <a:schemeClr val="accent2"/>
              </a:solidFill>
            </a:rPr>
            <a:t> Analysis</a:t>
          </a:r>
          <a:endParaRPr lang="en-US" sz="1600" b="1">
            <a:solidFill>
              <a:schemeClr val="accent2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127000</xdr:colOff>
      <xdr:row>11</xdr:row>
      <xdr:rowOff>15875</xdr:rowOff>
    </xdr:from>
    <xdr:to>
      <xdr:col>10</xdr:col>
      <xdr:colOff>431800</xdr:colOff>
      <xdr:row>25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7CFC1D-F04A-233D-E6EF-C59724A2F4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19050</xdr:colOff>
      <xdr:row>0</xdr:row>
      <xdr:rowOff>31750</xdr:rowOff>
    </xdr:from>
    <xdr:to>
      <xdr:col>8</xdr:col>
      <xdr:colOff>101600</xdr:colOff>
      <xdr:row>2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1909F36-4399-2BC3-879A-55DEA0CF383C}"/>
            </a:ext>
          </a:extLst>
        </xdr:cNvPr>
        <xdr:cNvSpPr txBox="1"/>
      </xdr:nvSpPr>
      <xdr:spPr>
        <a:xfrm>
          <a:off x="2159000" y="31750"/>
          <a:ext cx="3740150" cy="374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tx2">
                  <a:lumMod val="50000"/>
                  <a:lumOff val="50000"/>
                </a:schemeClr>
              </a:solidFill>
            </a:rPr>
            <a:t>Daily Sales Trend Analysis – April 2019</a:t>
          </a:r>
        </a:p>
      </xdr:txBody>
    </xdr:sp>
    <xdr:clientData/>
  </xdr:twoCellAnchor>
  <xdr:twoCellAnchor>
    <xdr:from>
      <xdr:col>0</xdr:col>
      <xdr:colOff>63500</xdr:colOff>
      <xdr:row>3</xdr:row>
      <xdr:rowOff>0</xdr:rowOff>
    </xdr:from>
    <xdr:to>
      <xdr:col>14</xdr:col>
      <xdr:colOff>584200</xdr:colOff>
      <xdr:row>5</xdr:row>
      <xdr:rowOff>139700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78BD993-9F42-FC8C-3B18-EE5E7D3CD020}"/>
            </a:ext>
          </a:extLst>
        </xdr:cNvPr>
        <xdr:cNvSpPr txBox="1"/>
      </xdr:nvSpPr>
      <xdr:spPr>
        <a:xfrm>
          <a:off x="63500" y="552450"/>
          <a:ext cx="9975850" cy="50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>
              <a:latin typeface="Arial" panose="020B0604020202020204" pitchFamily="34" charset="0"/>
              <a:cs typeface="Arial" panose="020B0604020202020204" pitchFamily="34" charset="0"/>
            </a:rPr>
            <a:t>This trend analysis highlights daily sales fluctuations and helps identify peak and low-performing days during the month.</a:t>
          </a:r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368300</xdr:colOff>
      <xdr:row>8</xdr:row>
      <xdr:rowOff>88900</xdr:rowOff>
    </xdr:from>
    <xdr:to>
      <xdr:col>9</xdr:col>
      <xdr:colOff>457200</xdr:colOff>
      <xdr:row>22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1F5C82-59E2-B296-1B46-E7A91F28DA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622300</xdr:colOff>
      <xdr:row>0</xdr:row>
      <xdr:rowOff>38100</xdr:rowOff>
    </xdr:from>
    <xdr:to>
      <xdr:col>5</xdr:col>
      <xdr:colOff>565150</xdr:colOff>
      <xdr:row>2</xdr:row>
      <xdr:rowOff>82550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6D968E0-8973-D5DD-9E79-C65A0036BF04}"/>
            </a:ext>
          </a:extLst>
        </xdr:cNvPr>
        <xdr:cNvSpPr txBox="1"/>
      </xdr:nvSpPr>
      <xdr:spPr>
        <a:xfrm>
          <a:off x="2203450" y="38100"/>
          <a:ext cx="3041650" cy="41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>
              <a:solidFill>
                <a:schemeClr val="accent1">
                  <a:lumMod val="60000"/>
                  <a:lumOff val="40000"/>
                </a:schemeClr>
              </a:solidFill>
            </a:rPr>
            <a:t>Top_5_Products_By_Sales</a:t>
          </a:r>
        </a:p>
      </xdr:txBody>
    </xdr:sp>
    <xdr:clientData/>
  </xdr:twoCellAnchor>
  <xdr:oneCellAnchor>
    <xdr:from>
      <xdr:col>1</xdr:col>
      <xdr:colOff>615950</xdr:colOff>
      <xdr:row>3</xdr:row>
      <xdr:rowOff>25400</xdr:rowOff>
    </xdr:from>
    <xdr:ext cx="51380" cy="19684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B04C311-CA4F-433A-835C-D7A23472C261}"/>
            </a:ext>
          </a:extLst>
        </xdr:cNvPr>
        <xdr:cNvSpPr txBox="1"/>
      </xdr:nvSpPr>
      <xdr:spPr>
        <a:xfrm>
          <a:off x="2197100" y="577850"/>
          <a:ext cx="51380" cy="1968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800" b="0">
            <a:solidFill>
              <a:srgbClr val="00B0F0"/>
            </a:solidFill>
          </a:endParaRPr>
        </a:p>
      </xdr:txBody>
    </xdr:sp>
    <xdr:clientData/>
  </xdr:oneCellAnchor>
  <xdr:oneCellAnchor>
    <xdr:from>
      <xdr:col>1</xdr:col>
      <xdr:colOff>615950</xdr:colOff>
      <xdr:row>0</xdr:row>
      <xdr:rowOff>114300</xdr:rowOff>
    </xdr:from>
    <xdr:ext cx="51380" cy="19684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646423D-996C-4A31-B559-2FEC87C41EC4}"/>
            </a:ext>
          </a:extLst>
        </xdr:cNvPr>
        <xdr:cNvSpPr txBox="1"/>
      </xdr:nvSpPr>
      <xdr:spPr>
        <a:xfrm>
          <a:off x="2197100" y="114300"/>
          <a:ext cx="51380" cy="1968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800" b="0">
            <a:solidFill>
              <a:srgbClr val="00B0F0"/>
            </a:solidFill>
          </a:endParaRPr>
        </a:p>
      </xdr:txBody>
    </xdr:sp>
    <xdr:clientData/>
  </xdr:oneCellAnchor>
  <xdr:twoCellAnchor>
    <xdr:from>
      <xdr:col>0</xdr:col>
      <xdr:colOff>463550</xdr:colOff>
      <xdr:row>2</xdr:row>
      <xdr:rowOff>171450</xdr:rowOff>
    </xdr:from>
    <xdr:to>
      <xdr:col>9</xdr:col>
      <xdr:colOff>412750</xdr:colOff>
      <xdr:row>5</xdr:row>
      <xdr:rowOff>38100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5426873-25C6-CEBC-602D-B4D324E9F283}"/>
            </a:ext>
          </a:extLst>
        </xdr:cNvPr>
        <xdr:cNvSpPr txBox="1"/>
      </xdr:nvSpPr>
      <xdr:spPr>
        <a:xfrm>
          <a:off x="463550" y="539750"/>
          <a:ext cx="7067550" cy="419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tx1"/>
              </a:solidFill>
            </a:rPr>
            <a:t>This analysis identifies the top 5 revenue-generating products, helping focus on high-performing items.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32.637618171299" createdVersion="8" refreshedVersion="8" minRefreshableVersion="3" recordCount="97" xr:uid="{FBE51288-19BD-4D80-83EF-0BB057A57D4E}">
  <cacheSource type="worksheet">
    <worksheetSource name="Table3"/>
  </cacheSource>
  <cacheFields count="7">
    <cacheField name="Order ID" numFmtId="0">
      <sharedItems containsSemiMixedTypes="0" containsString="0" containsNumber="1" containsInteger="1" minValue="176558" maxValue="176650"/>
    </cacheField>
    <cacheField name="Product" numFmtId="0">
      <sharedItems count="17">
        <s v="USB-C Charging Cable"/>
        <s v="Bose SoundSport Headphones"/>
        <s v="Google Phone"/>
        <s v="Wired Headphones"/>
        <s v="Macbook Pro Laptop"/>
        <s v="Lightning Charging Cable"/>
        <s v="27in 4K Gaming Monitor"/>
        <s v="AA Batteries (4-pack)"/>
        <s v="Apple Airpods Headphones"/>
        <s v="AAA Batteries (4-pack)"/>
        <s v="iPhone"/>
        <s v="Flatscreen TV"/>
        <s v="27in FHD Monitor"/>
        <s v="20in Monitor"/>
        <s v="LG Dryer"/>
        <s v="ThinkPad Laptop"/>
        <s v="Vareebadd Phone"/>
      </sharedItems>
    </cacheField>
    <cacheField name="Quantity Ordered" numFmtId="0">
      <sharedItems containsSemiMixedTypes="0" containsString="0" containsNumber="1" containsInteger="1" minValue="1" maxValue="3"/>
    </cacheField>
    <cacheField name="Price Each" numFmtId="1">
      <sharedItems containsSemiMixedTypes="0" containsString="0" containsNumber="1" minValue="2.99" maxValue="1700"/>
    </cacheField>
    <cacheField name="Order Date" numFmtId="22">
      <sharedItems containsSemiMixedTypes="0" containsNonDate="0" containsDate="1" containsString="0" minDate="2019-04-01T07:46:00" maxDate="2019-04-30T20:37:00"/>
    </cacheField>
    <cacheField name="Purchase Address" numFmtId="0">
      <sharedItems/>
    </cacheField>
    <cacheField name="Total Amount" numFmtId="1">
      <sharedItems containsSemiMixedTypes="0" containsString="0" containsNumber="1" minValue="2.99" maxValue="1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034.483093518516" backgroundQuery="1" createdVersion="8" refreshedVersion="8" minRefreshableVersion="3" recordCount="0" supportSubquery="1" supportAdvancedDrill="1" xr:uid="{B1AA59CD-91F6-462F-B0F8-9882D89208C7}">
  <cacheSource type="external" connectionId="1"/>
  <cacheFields count="3">
    <cacheField name="[Table3].[City].[City]" caption="City" numFmtId="0" hierarchy="7" level="1">
      <sharedItems count="9">
        <s v="Atlanta"/>
        <s v="Austin"/>
        <s v="Boston"/>
        <s v="Dallas"/>
        <s v="Los Angeles"/>
        <s v="New York City"/>
        <s v="Portland"/>
        <s v="San Francisco"/>
        <s v="Seattle"/>
      </sharedItems>
    </cacheField>
    <cacheField name="[Table3].[Category].[Category]" caption="Category" numFmtId="0" hierarchy="12" level="1">
      <sharedItems count="6">
        <s v="Accessories"/>
        <s v="Appliances"/>
        <s v="Electronics"/>
        <s v="Laptop"/>
        <s v="Mobile"/>
        <s v="Monitor"/>
      </sharedItems>
    </cacheField>
    <cacheField name="[Measures].[Sum of Total Amount]" caption="Sum of Total Amount" numFmtId="0" hierarchy="16" level="32767"/>
  </cacheFields>
  <cacheHierarchies count="17">
    <cacheHierarchy uniqueName="[Table3].[Order ID]" caption="Order ID" attribute="1" defaultMemberUniqueName="[Table3].[Order ID].[All]" allUniqueName="[Table3].[Order ID].[All]" dimensionUniqueName="[Table3]" displayFolder="" count="0" memberValueDatatype="20" unbalanced="0"/>
    <cacheHierarchy uniqueName="[Table3].[Product]" caption="Product" attribute="1" defaultMemberUniqueName="[Table3].[Product].[All]" allUniqueName="[Table3].[Product].[All]" dimensionUniqueName="[Table3]" displayFolder="" count="0" memberValueDatatype="130" unbalanced="0"/>
    <cacheHierarchy uniqueName="[Table3].[Quantity Ordered]" caption="Quantity Ordered" attribute="1" defaultMemberUniqueName="[Table3].[Quantity Ordered].[All]" allUniqueName="[Table3].[Quantity Ordered].[All]" dimensionUniqueName="[Table3]" displayFolder="" count="0" memberValueDatatype="20" unbalanced="0"/>
    <cacheHierarchy uniqueName="[Table3].[Price Each]" caption="Price Each" attribute="1" defaultMemberUniqueName="[Table3].[Price Each].[All]" allUniqueName="[Table3].[Price Each].[All]" dimensionUniqueName="[Table3]" displayFolder="" count="0" memberValueDatatype="5" unbalanced="0"/>
    <cacheHierarchy uniqueName="[Table3].[Order Date]" caption="Order Date" attribute="1" time="1" defaultMemberUniqueName="[Table3].[Order Date].[All]" allUniqueName="[Table3].[Order Date].[All]" dimensionUniqueName="[Table3]" displayFolder="" count="0" memberValueDatatype="7" unbalanced="0"/>
    <cacheHierarchy uniqueName="[Table3].[Purchase Address]" caption="Purchase Address" attribute="1" defaultMemberUniqueName="[Table3].[Purchase Address].[All]" allUniqueName="[Table3].[Purchase Address].[All]" dimensionUniqueName="[Table3]" displayFolder="" count="0" memberValueDatatype="130" unbalanced="0"/>
    <cacheHierarchy uniqueName="[Table3].[Total Amount]" caption="Total Amount" attribute="1" defaultMemberUniqueName="[Table3].[Total Amount].[All]" allUniqueName="[Table3].[Total Amount].[All]" dimensionUniqueName="[Table3]" displayFolder="" count="0" memberValueDatatype="5" unbalanced="0"/>
    <cacheHierarchy uniqueName="[Table3].[City]" caption="City" attribute="1" defaultMemberUniqueName="[Table3].[City].[All]" allUniqueName="[Table3].[City].[All]" dimensionUniqueName="[Table3]" displayFolder="" count="2" memberValueDatatype="130" unbalanced="0">
      <fieldsUsage count="2">
        <fieldUsage x="-1"/>
        <fieldUsage x="0"/>
      </fieldsUsage>
    </cacheHierarchy>
    <cacheHierarchy uniqueName="[Table3].[Order Date (Day)]" caption="Order Date (Day)" attribute="1" defaultMemberUniqueName="[Table3].[Order Date (Day)].[All]" allUniqueName="[Table3].[Order Date (Day)].[All]" dimensionUniqueName="[Table3]" displayFolder="" count="0" memberValueDatatype="130" unbalanced="0"/>
    <cacheHierarchy uniqueName="[Table3].[Order Date (Hour)]" caption="Order Date (Hour)" attribute="1" defaultMemberUniqueName="[Table3].[Order Date (Hour)].[All]" allUniqueName="[Table3].[Order Date (Hour)].[All]" dimensionUniqueName="[Table3]" displayFolder="" count="0" memberValueDatatype="130" unbalanced="0"/>
    <cacheHierarchy uniqueName="[Table3].[Order Date (Minute)]" caption="Order Date (Minute)" attribute="1" defaultMemberUniqueName="[Table3].[Order Date (Minute)].[All]" allUniqueName="[Table3].[Order Date (Minute)].[All]" dimensionUniqueName="[Table3]" displayFolder="" count="0" memberValueDatatype="130" unbalanced="0"/>
    <cacheHierarchy uniqueName="[Table3].[Month]" caption="Month" attribute="1" defaultMemberUniqueName="[Table3].[Month].[All]" allUniqueName="[Table3].[Month].[All]" dimensionUniqueName="[Table3]" displayFolder="" count="0" memberValueDatatype="130" unbalanced="0"/>
    <cacheHierarchy uniqueName="[Table3].[Category]" caption="Category" attribute="1" defaultMemberUniqueName="[Table3].[Category].[All]" allUniqueName="[Table3].[Category].[All]" dimensionUniqueName="[Table3]" displayFolder="" count="2" memberValueDatatype="130" unbalanced="0">
      <fieldsUsage count="2">
        <fieldUsage x="-1"/>
        <fieldUsage x="1"/>
      </fieldsUsage>
    </cacheHierarchy>
    <cacheHierarchy uniqueName="[Table3].[Order Date (Day Index)]" caption="Order Date (Day Index)" attribute="1" defaultMemberUniqueName="[Table3].[Order Date (Day Index)].[All]" allUniqueName="[Table3].[Order Date (Day Index)].[All]" dimensionUniqueName="[Table3]" displayFolder="" count="0" memberValueDatatype="5" unbalanced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Total Amount]" caption="Sum of Total Amount" measure="1" displayFolder="" measureGroup="Table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Table3" uniqueName="[Table3]" caption="Table3"/>
  </dimensions>
  <measureGroups count="1">
    <measureGroup name="Table3" caption="Table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034.483095023148" backgroundQuery="1" createdVersion="8" refreshedVersion="8" minRefreshableVersion="3" recordCount="0" supportSubquery="1" supportAdvancedDrill="1" xr:uid="{67048CF2-91E0-4326-B39E-F2D051F02571}">
  <cacheSource type="external" connectionId="1"/>
  <cacheFields count="3">
    <cacheField name="[Table3].[Category].[Category]" caption="Category" numFmtId="0" hierarchy="12" level="1">
      <sharedItems count="6">
        <s v="Accessories"/>
        <s v="Appliances"/>
        <s v="Electronics"/>
        <s v="Laptop"/>
        <s v="Mobile"/>
        <s v="Monitor"/>
      </sharedItems>
    </cacheField>
    <cacheField name="[Table3].[Month].[Month]" caption="Month" numFmtId="0" hierarchy="11" level="1">
      <sharedItems count="1">
        <s v="Apr-2019"/>
      </sharedItems>
    </cacheField>
    <cacheField name="[Measures].[Sum of Total Amount]" caption="Sum of Total Amount" numFmtId="0" hierarchy="16" level="32767"/>
  </cacheFields>
  <cacheHierarchies count="17">
    <cacheHierarchy uniqueName="[Table3].[Order ID]" caption="Order ID" attribute="1" defaultMemberUniqueName="[Table3].[Order ID].[All]" allUniqueName="[Table3].[Order ID].[All]" dimensionUniqueName="[Table3]" displayFolder="" count="0" memberValueDatatype="20" unbalanced="0"/>
    <cacheHierarchy uniqueName="[Table3].[Product]" caption="Product" attribute="1" defaultMemberUniqueName="[Table3].[Product].[All]" allUniqueName="[Table3].[Product].[All]" dimensionUniqueName="[Table3]" displayFolder="" count="0" memberValueDatatype="130" unbalanced="0"/>
    <cacheHierarchy uniqueName="[Table3].[Quantity Ordered]" caption="Quantity Ordered" attribute="1" defaultMemberUniqueName="[Table3].[Quantity Ordered].[All]" allUniqueName="[Table3].[Quantity Ordered].[All]" dimensionUniqueName="[Table3]" displayFolder="" count="0" memberValueDatatype="20" unbalanced="0"/>
    <cacheHierarchy uniqueName="[Table3].[Price Each]" caption="Price Each" attribute="1" defaultMemberUniqueName="[Table3].[Price Each].[All]" allUniqueName="[Table3].[Price Each].[All]" dimensionUniqueName="[Table3]" displayFolder="" count="0" memberValueDatatype="5" unbalanced="0"/>
    <cacheHierarchy uniqueName="[Table3].[Order Date]" caption="Order Date" attribute="1" time="1" defaultMemberUniqueName="[Table3].[Order Date].[All]" allUniqueName="[Table3].[Order Date].[All]" dimensionUniqueName="[Table3]" displayFolder="" count="0" memberValueDatatype="7" unbalanced="0"/>
    <cacheHierarchy uniqueName="[Table3].[Purchase Address]" caption="Purchase Address" attribute="1" defaultMemberUniqueName="[Table3].[Purchase Address].[All]" allUniqueName="[Table3].[Purchase Address].[All]" dimensionUniqueName="[Table3]" displayFolder="" count="0" memberValueDatatype="130" unbalanced="0"/>
    <cacheHierarchy uniqueName="[Table3].[Total Amount]" caption="Total Amount" attribute="1" defaultMemberUniqueName="[Table3].[Total Amount].[All]" allUniqueName="[Table3].[Total Amount].[All]" dimensionUniqueName="[Table3]" displayFolder="" count="0" memberValueDatatype="5" unbalanced="0"/>
    <cacheHierarchy uniqueName="[Table3].[City]" caption="City" attribute="1" defaultMemberUniqueName="[Table3].[City].[All]" allUniqueName="[Table3].[City].[All]" dimensionUniqueName="[Table3]" displayFolder="" count="0" memberValueDatatype="130" unbalanced="0"/>
    <cacheHierarchy uniqueName="[Table3].[Order Date (Day)]" caption="Order Date (Day)" attribute="1" defaultMemberUniqueName="[Table3].[Order Date (Day)].[All]" allUniqueName="[Table3].[Order Date (Day)].[All]" dimensionUniqueName="[Table3]" displayFolder="" count="0" memberValueDatatype="130" unbalanced="0"/>
    <cacheHierarchy uniqueName="[Table3].[Order Date (Hour)]" caption="Order Date (Hour)" attribute="1" defaultMemberUniqueName="[Table3].[Order Date (Hour)].[All]" allUniqueName="[Table3].[Order Date (Hour)].[All]" dimensionUniqueName="[Table3]" displayFolder="" count="0" memberValueDatatype="130" unbalanced="0"/>
    <cacheHierarchy uniqueName="[Table3].[Order Date (Minute)]" caption="Order Date (Minute)" attribute="1" defaultMemberUniqueName="[Table3].[Order Date (Minute)].[All]" allUniqueName="[Table3].[Order Date (Minute)].[All]" dimensionUniqueName="[Table3]" displayFolder="" count="0" memberValueDatatype="130" unbalanced="0"/>
    <cacheHierarchy uniqueName="[Table3].[Month]" caption="Month" attribute="1" defaultMemberUniqueName="[Table3].[Month].[All]" allUniqueName="[Table3].[Month].[All]" dimensionUniqueName="[Table3]" displayFolder="" count="2" memberValueDatatype="130" unbalanced="0">
      <fieldsUsage count="2">
        <fieldUsage x="-1"/>
        <fieldUsage x="1"/>
      </fieldsUsage>
    </cacheHierarchy>
    <cacheHierarchy uniqueName="[Table3].[Category]" caption="Category" attribute="1" defaultMemberUniqueName="[Table3].[Category].[All]" allUniqueName="[Table3].[Category].[All]" dimensionUniqueName="[Table3]" displayFolder="" count="2" memberValueDatatype="130" unbalanced="0">
      <fieldsUsage count="2">
        <fieldUsage x="-1"/>
        <fieldUsage x="0"/>
      </fieldsUsage>
    </cacheHierarchy>
    <cacheHierarchy uniqueName="[Table3].[Order Date (Day Index)]" caption="Order Date (Day Index)" attribute="1" defaultMemberUniqueName="[Table3].[Order Date (Day Index)].[All]" allUniqueName="[Table3].[Order Date (Day Index)].[All]" dimensionUniqueName="[Table3]" displayFolder="" count="0" memberValueDatatype="5" unbalanced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Total Amount]" caption="Sum of Total Amount" measure="1" displayFolder="" measureGroup="Table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Table3" uniqueName="[Table3]" caption="Table3"/>
  </dimensions>
  <measureGroups count="1">
    <measureGroup name="Table3" caption="Table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034.483097685188" backgroundQuery="1" createdVersion="8" refreshedVersion="8" minRefreshableVersion="3" recordCount="0" supportSubquery="1" supportAdvancedDrill="1" xr:uid="{7C65CACF-D2A4-4D47-A0F7-CB34E50789E8}">
  <cacheSource type="external" connectionId="1"/>
  <cacheFields count="5">
    <cacheField name="[Table3].[Order Date].[Order Date]" caption="Order Date" numFmtId="0" hierarchy="4" level="1">
      <sharedItems containsSemiMixedTypes="0" containsNonDate="0" containsDate="1" containsString="0" minDate="2019-04-01T07:46:00" maxDate="2019-04-30T20:37:00" count="93">
        <d v="2019-04-01T21:40:00"/>
        <d v="2019-04-01T07:46:00"/>
        <d v="2019-04-02T10:57:00"/>
        <d v="2019-04-02T22:32:00"/>
        <d v="2019-04-02T04:00:00"/>
        <d v="2019-04-02T07:46:00"/>
        <d v="2019-04-02T09:11:00"/>
        <d v="2019-04-03T19:42:00"/>
        <d v="2019-04-04T12:23:00"/>
        <d v="2019-04-04T19:25:00"/>
        <d v="2019-04-04T19:48:00"/>
        <d v="2019-04-04T20:30:00"/>
        <d v="2019-04-05T00:35:00"/>
        <d v="2019-04-05T20:40:00"/>
        <d v="2019-04-07T11:31:00"/>
        <d v="2019-04-07T21:01:00"/>
        <d v="2019-04-07T22:30:00"/>
        <d v="2019-04-08T14:05:00"/>
        <d v="2019-04-09T21:38:00"/>
        <d v="2019-04-09T23:35:00"/>
        <d v="2019-04-09T08:49:00"/>
        <d v="2019-04-10T17:00:00"/>
        <d v="2019-04-10T05:01:00"/>
        <d v="2019-04-10T08:00:00"/>
        <d v="2019-04-11T10:23:00"/>
        <d v="2019-04-11T11:46:00"/>
        <d v="2019-04-11T12:01:00"/>
        <d v="2019-04-11T15:25:00"/>
        <d v="2019-04-11T16:09:00"/>
        <d v="2019-04-11T16:59:00"/>
        <d v="2019-04-11T20:16:00"/>
        <d v="2019-04-12T10:58:00"/>
        <d v="2019-04-12T14:38:00"/>
        <d v="2019-04-12T16:47:00"/>
        <d v="2019-04-13T18:48:00"/>
        <d v="2019-04-14T14:28:00"/>
        <d v="2019-04-15T12:18:00"/>
        <d v="2019-04-15T13:45:00"/>
        <d v="2019-04-15T16:29:00"/>
        <d v="2019-04-15T04:03:00"/>
        <d v="2019-04-16T18:37:00"/>
        <d v="2019-04-16T19:23:00"/>
        <d v="2019-04-17T10:03:00"/>
        <d v="2019-04-17T10:39:00"/>
        <d v="2019-04-17T18:38:00"/>
        <d v="2019-04-17T23:04:00"/>
        <d v="2019-04-18T12:11:00"/>
        <d v="2019-04-18T17:18:00"/>
        <d v="2019-04-18T21:44:00"/>
        <d v="2019-04-19T13:39:00"/>
        <d v="2019-04-19T14:29:00"/>
        <d v="2019-04-19T08:46:00"/>
        <d v="2019-04-20T12:00:00"/>
        <d v="2019-04-20T23:51:00"/>
        <d v="2019-04-20T08:33:00"/>
        <d v="2019-04-21T14:16:00"/>
        <d v="2019-04-21T14:57:00"/>
        <d v="2019-04-21T19:40:00"/>
        <d v="2019-04-21T20:33:00"/>
        <d v="2019-04-21T07:21:00"/>
        <d v="2019-04-22T15:09:00"/>
        <d v="2019-04-22T07:14:00"/>
        <d v="2019-04-23T14:03:00"/>
        <d v="2019-04-23T02:09:00"/>
        <d v="2019-04-24T01:17:00"/>
        <d v="2019-04-24T10:38:00"/>
        <d v="2019-04-24T11:56:00"/>
        <d v="2019-04-24T19:00:00"/>
        <d v="2019-04-24T20:39:00"/>
        <d v="2019-04-25T21:36:00"/>
        <d v="2019-04-25T08:03:00"/>
        <d v="2019-04-26T00:40:00"/>
        <d v="2019-04-26T18:38:00"/>
        <d v="2019-04-26T18:58:00"/>
        <d v="2019-04-26T09:55:00"/>
        <d v="2019-04-27T00:30:00"/>
        <d v="2019-04-27T12:20:00"/>
        <d v="2019-04-27T13:04:00"/>
        <d v="2019-04-27T18:41:00"/>
        <d v="2019-04-27T20:11:00"/>
        <d v="2019-04-27T21:32:00"/>
        <d v="2019-04-27T22:54:00"/>
        <d v="2019-04-28T10:44:00"/>
        <d v="2019-04-28T11:42:00"/>
        <d v="2019-04-28T16:14:00"/>
        <d v="2019-04-29T13:03:00"/>
        <d v="2019-04-29T19:38:00"/>
        <d v="2019-04-30T10:35:00"/>
        <d v="2019-04-30T13:16:00"/>
        <d v="2019-04-30T15:54:00"/>
        <d v="2019-04-30T20:37:00"/>
        <d v="2019-04-30T09:27:00"/>
        <d v="2019-04-30T09:39:00"/>
      </sharedItems>
      <extLst>
        <ext xmlns:x15="http://schemas.microsoft.com/office/spreadsheetml/2010/11/main" uri="{4F2E5C28-24EA-4eb8-9CBF-B6C8F9C3D259}">
          <x15:cachedUniqueNames>
            <x15:cachedUniqueName index="0" name="[Table3].[Order Date].&amp;[2019-04-01T21:40:00]"/>
            <x15:cachedUniqueName index="1" name="[Table3].[Order Date].&amp;[2019-04-01T07:46:00]"/>
            <x15:cachedUniqueName index="2" name="[Table3].[Order Date].&amp;[2019-04-02T10:57:00]"/>
            <x15:cachedUniqueName index="3" name="[Table3].[Order Date].&amp;[2019-04-02T22:32:00]"/>
            <x15:cachedUniqueName index="4" name="[Table3].[Order Date].&amp;[2019-04-02T04:00:00]"/>
            <x15:cachedUniqueName index="5" name="[Table3].[Order Date].&amp;[2019-04-02T07:46:00]"/>
            <x15:cachedUniqueName index="6" name="[Table3].[Order Date].&amp;[2019-04-02T09:11:00]"/>
            <x15:cachedUniqueName index="7" name="[Table3].[Order Date].&amp;[2019-04-03T19:42:00]"/>
            <x15:cachedUniqueName index="8" name="[Table3].[Order Date].&amp;[2019-04-04T12:23:00]"/>
            <x15:cachedUniqueName index="9" name="[Table3].[Order Date].&amp;[2019-04-04T19:25:00]"/>
            <x15:cachedUniqueName index="10" name="[Table3].[Order Date].&amp;[2019-04-04T19:48:00]"/>
            <x15:cachedUniqueName index="11" name="[Table3].[Order Date].&amp;[2019-04-04T20:30:00]"/>
            <x15:cachedUniqueName index="12" name="[Table3].[Order Date].&amp;[2019-04-05T00:35:00]"/>
            <x15:cachedUniqueName index="13" name="[Table3].[Order Date].&amp;[2019-04-05T20:40:00]"/>
            <x15:cachedUniqueName index="14" name="[Table3].[Order Date].&amp;[2019-04-07T11:31:00]"/>
            <x15:cachedUniqueName index="15" name="[Table3].[Order Date].&amp;[2019-04-07T21:01:00]"/>
            <x15:cachedUniqueName index="16" name="[Table3].[Order Date].&amp;[2019-04-07T22:30:00]"/>
            <x15:cachedUniqueName index="17" name="[Table3].[Order Date].&amp;[2019-04-08T14:05:00]"/>
            <x15:cachedUniqueName index="18" name="[Table3].[Order Date].&amp;[2019-04-09T21:38:00]"/>
            <x15:cachedUniqueName index="19" name="[Table3].[Order Date].&amp;[2019-04-09T23:35:00]"/>
            <x15:cachedUniqueName index="20" name="[Table3].[Order Date].&amp;[2019-04-09T08:49:00]"/>
            <x15:cachedUniqueName index="21" name="[Table3].[Order Date].&amp;[2019-04-10T17:00:00]"/>
            <x15:cachedUniqueName index="22" name="[Table3].[Order Date].&amp;[2019-04-10T05:01:00]"/>
            <x15:cachedUniqueName index="23" name="[Table3].[Order Date].&amp;[2019-04-10T08:00:00]"/>
            <x15:cachedUniqueName index="24" name="[Table3].[Order Date].&amp;[2019-04-11T10:23:00]"/>
            <x15:cachedUniqueName index="25" name="[Table3].[Order Date].&amp;[2019-04-11T11:46:00]"/>
            <x15:cachedUniqueName index="26" name="[Table3].[Order Date].&amp;[2019-04-11T12:01:00]"/>
            <x15:cachedUniqueName index="27" name="[Table3].[Order Date].&amp;[2019-04-11T15:25:00]"/>
            <x15:cachedUniqueName index="28" name="[Table3].[Order Date].&amp;[2019-04-11T16:09:00]"/>
            <x15:cachedUniqueName index="29" name="[Table3].[Order Date].&amp;[2019-04-11T16:59:00]"/>
            <x15:cachedUniqueName index="30" name="[Table3].[Order Date].&amp;[2019-04-11T20:16:00]"/>
            <x15:cachedUniqueName index="31" name="[Table3].[Order Date].&amp;[2019-04-12T10:58:00]"/>
            <x15:cachedUniqueName index="32" name="[Table3].[Order Date].&amp;[2019-04-12T14:38:00]"/>
            <x15:cachedUniqueName index="33" name="[Table3].[Order Date].&amp;[2019-04-12T16:47:00]"/>
            <x15:cachedUniqueName index="34" name="[Table3].[Order Date].&amp;[2019-04-13T18:48:00]"/>
            <x15:cachedUniqueName index="35" name="[Table3].[Order Date].&amp;[2019-04-14T14:28:00]"/>
            <x15:cachedUniqueName index="36" name="[Table3].[Order Date].&amp;[2019-04-15T12:18:00]"/>
            <x15:cachedUniqueName index="37" name="[Table3].[Order Date].&amp;[2019-04-15T13:45:00]"/>
            <x15:cachedUniqueName index="38" name="[Table3].[Order Date].&amp;[2019-04-15T16:29:00]"/>
            <x15:cachedUniqueName index="39" name="[Table3].[Order Date].&amp;[2019-04-15T04:03:00]"/>
            <x15:cachedUniqueName index="40" name="[Table3].[Order Date].&amp;[2019-04-16T18:37:00]"/>
            <x15:cachedUniqueName index="41" name="[Table3].[Order Date].&amp;[2019-04-16T19:23:00]"/>
            <x15:cachedUniqueName index="42" name="[Table3].[Order Date].&amp;[2019-04-17T10:03:00]"/>
            <x15:cachedUniqueName index="43" name="[Table3].[Order Date].&amp;[2019-04-17T10:39:00]"/>
            <x15:cachedUniqueName index="44" name="[Table3].[Order Date].&amp;[2019-04-17T18:38:00]"/>
            <x15:cachedUniqueName index="45" name="[Table3].[Order Date].&amp;[2019-04-17T23:04:00]"/>
            <x15:cachedUniqueName index="46" name="[Table3].[Order Date].&amp;[2019-04-18T12:11:00]"/>
            <x15:cachedUniqueName index="47" name="[Table3].[Order Date].&amp;[2019-04-18T17:18:00]"/>
            <x15:cachedUniqueName index="48" name="[Table3].[Order Date].&amp;[2019-04-18T21:44:00]"/>
            <x15:cachedUniqueName index="49" name="[Table3].[Order Date].&amp;[2019-04-19T13:39:00]"/>
            <x15:cachedUniqueName index="50" name="[Table3].[Order Date].&amp;[2019-04-19T14:29:00]"/>
            <x15:cachedUniqueName index="51" name="[Table3].[Order Date].&amp;[2019-04-19T08:46:00]"/>
            <x15:cachedUniqueName index="52" name="[Table3].[Order Date].&amp;[2019-04-20T12:00:00]"/>
            <x15:cachedUniqueName index="53" name="[Table3].[Order Date].&amp;[2019-04-20T23:51:00]"/>
            <x15:cachedUniqueName index="54" name="[Table3].[Order Date].&amp;[2019-04-20T08:33:00]"/>
            <x15:cachedUniqueName index="55" name="[Table3].[Order Date].&amp;[2019-04-21T14:16:00]"/>
            <x15:cachedUniqueName index="56" name="[Table3].[Order Date].&amp;[2019-04-21T14:57:00]"/>
            <x15:cachedUniqueName index="57" name="[Table3].[Order Date].&amp;[2019-04-21T19:40:00]"/>
            <x15:cachedUniqueName index="58" name="[Table3].[Order Date].&amp;[2019-04-21T20:33:00]"/>
            <x15:cachedUniqueName index="59" name="[Table3].[Order Date].&amp;[2019-04-21T07:21:00]"/>
            <x15:cachedUniqueName index="60" name="[Table3].[Order Date].&amp;[2019-04-22T15:09:00]"/>
            <x15:cachedUniqueName index="61" name="[Table3].[Order Date].&amp;[2019-04-22T07:14:00]"/>
            <x15:cachedUniqueName index="62" name="[Table3].[Order Date].&amp;[2019-04-23T14:03:00]"/>
            <x15:cachedUniqueName index="63" name="[Table3].[Order Date].&amp;[2019-04-23T02:09:00]"/>
            <x15:cachedUniqueName index="64" name="[Table3].[Order Date].&amp;[2019-04-24T01:17:00]"/>
            <x15:cachedUniqueName index="65" name="[Table3].[Order Date].&amp;[2019-04-24T10:38:00]"/>
            <x15:cachedUniqueName index="66" name="[Table3].[Order Date].&amp;[2019-04-24T11:56:00]"/>
            <x15:cachedUniqueName index="67" name="[Table3].[Order Date].&amp;[2019-04-24T19:00:00]"/>
            <x15:cachedUniqueName index="68" name="[Table3].[Order Date].&amp;[2019-04-24T20:39:00]"/>
            <x15:cachedUniqueName index="69" name="[Table3].[Order Date].&amp;[2019-04-25T21:36:00]"/>
            <x15:cachedUniqueName index="70" name="[Table3].[Order Date].&amp;[2019-04-25T08:03:00]"/>
            <x15:cachedUniqueName index="71" name="[Table3].[Order Date].&amp;[2019-04-26T00:40:00]"/>
            <x15:cachedUniqueName index="72" name="[Table3].[Order Date].&amp;[2019-04-26T18:38:00]"/>
            <x15:cachedUniqueName index="73" name="[Table3].[Order Date].&amp;[2019-04-26T18:58:00]"/>
            <x15:cachedUniqueName index="74" name="[Table3].[Order Date].&amp;[2019-04-26T09:55:00]"/>
            <x15:cachedUniqueName index="75" name="[Table3].[Order Date].&amp;[2019-04-27T00:30:00]"/>
            <x15:cachedUniqueName index="76" name="[Table3].[Order Date].&amp;[2019-04-27T12:20:00]"/>
            <x15:cachedUniqueName index="77" name="[Table3].[Order Date].&amp;[2019-04-27T13:04:00]"/>
            <x15:cachedUniqueName index="78" name="[Table3].[Order Date].&amp;[2019-04-27T18:41:00]"/>
            <x15:cachedUniqueName index="79" name="[Table3].[Order Date].&amp;[2019-04-27T20:11:00]"/>
            <x15:cachedUniqueName index="80" name="[Table3].[Order Date].&amp;[2019-04-27T21:32:00]"/>
            <x15:cachedUniqueName index="81" name="[Table3].[Order Date].&amp;[2019-04-27T22:54:00]"/>
            <x15:cachedUniqueName index="82" name="[Table3].[Order Date].&amp;[2019-04-28T10:44:00]"/>
            <x15:cachedUniqueName index="83" name="[Table3].[Order Date].&amp;[2019-04-28T11:42:00]"/>
            <x15:cachedUniqueName index="84" name="[Table3].[Order Date].&amp;[2019-04-28T16:14:00]"/>
            <x15:cachedUniqueName index="85" name="[Table3].[Order Date].&amp;[2019-04-29T13:03:00]"/>
            <x15:cachedUniqueName index="86" name="[Table3].[Order Date].&amp;[2019-04-29T19:38:00]"/>
            <x15:cachedUniqueName index="87" name="[Table3].[Order Date].&amp;[2019-04-30T10:35:00]"/>
            <x15:cachedUniqueName index="88" name="[Table3].[Order Date].&amp;[2019-04-30T13:16:00]"/>
            <x15:cachedUniqueName index="89" name="[Table3].[Order Date].&amp;[2019-04-30T15:54:00]"/>
            <x15:cachedUniqueName index="90" name="[Table3].[Order Date].&amp;[2019-04-30T20:37:00]"/>
            <x15:cachedUniqueName index="91" name="[Table3].[Order Date].&amp;[2019-04-30T09:27:00]"/>
            <x15:cachedUniqueName index="92" name="[Table3].[Order Date].&amp;[2019-04-30T09:39:00]"/>
          </x15:cachedUniqueNames>
        </ext>
      </extLst>
    </cacheField>
    <cacheField name="[Table3].[Order Date (Minute)].[Order Date (Minute)]" caption="Order Date (Minute)" numFmtId="0" hierarchy="10" level="1">
      <sharedItems count="1">
        <s v="04"/>
      </sharedItems>
    </cacheField>
    <cacheField name="[Table3].[Order Date (Hour)].[Order Date (Hour)]" caption="Order Date (Hour)" numFmtId="0" hierarchy="9" level="1">
      <sharedItems count="22">
        <s v="21"/>
        <s v="7"/>
        <s v="10"/>
        <s v="22"/>
        <s v="4"/>
        <s v="9"/>
        <s v="19"/>
        <s v="12"/>
        <s v="20"/>
        <s v="0"/>
        <s v="11"/>
        <s v="14"/>
        <s v="23"/>
        <s v="8"/>
        <s v="17"/>
        <s v="5"/>
        <s v="15"/>
        <s v="16"/>
        <s v="18"/>
        <s v="13"/>
        <s v="2"/>
        <s v="1"/>
      </sharedItems>
    </cacheField>
    <cacheField name="[Table3].[Order Date (Day)].[Order Date (Day)]" caption="Order Date (Day)" numFmtId="0" hierarchy="8" level="1">
      <sharedItems count="29">
        <s v="1-Apr"/>
        <s v="2-Apr"/>
        <s v="3-Apr"/>
        <s v="4-Apr"/>
        <s v="5-Apr"/>
        <s v="7-Apr"/>
        <s v="8-Apr"/>
        <s v="9-Apr"/>
        <s v="10-Apr"/>
        <s v="11-Apr"/>
        <s v="12-Apr"/>
        <s v="13-Apr"/>
        <s v="14-Apr"/>
        <s v="15-Apr"/>
        <s v="16-Apr"/>
        <s v="17-Apr"/>
        <s v="18-Apr"/>
        <s v="19-Apr"/>
        <s v="20-Apr"/>
        <s v="21-Apr"/>
        <s v="22-Apr"/>
        <s v="23-Apr"/>
        <s v="24-Apr"/>
        <s v="25-Apr"/>
        <s v="26-Apr"/>
        <s v="27-Apr"/>
        <s v="28-Apr"/>
        <s v="29-Apr"/>
        <s v="30-Apr"/>
      </sharedItems>
    </cacheField>
    <cacheField name="[Measures].[Sum of Total Amount]" caption="Sum of Total Amount" numFmtId="0" hierarchy="16" level="32767"/>
  </cacheFields>
  <cacheHierarchies count="17">
    <cacheHierarchy uniqueName="[Table3].[Order ID]" caption="Order ID" attribute="1" defaultMemberUniqueName="[Table3].[Order ID].[All]" allUniqueName="[Table3].[Order ID].[All]" dimensionUniqueName="[Table3]" displayFolder="" count="0" memberValueDatatype="20" unbalanced="0"/>
    <cacheHierarchy uniqueName="[Table3].[Product]" caption="Product" attribute="1" defaultMemberUniqueName="[Table3].[Product].[All]" allUniqueName="[Table3].[Product].[All]" dimensionUniqueName="[Table3]" displayFolder="" count="0" memberValueDatatype="130" unbalanced="0"/>
    <cacheHierarchy uniqueName="[Table3].[Quantity Ordered]" caption="Quantity Ordered" attribute="1" defaultMemberUniqueName="[Table3].[Quantity Ordered].[All]" allUniqueName="[Table3].[Quantity Ordered].[All]" dimensionUniqueName="[Table3]" displayFolder="" count="0" memberValueDatatype="20" unbalanced="0"/>
    <cacheHierarchy uniqueName="[Table3].[Price Each]" caption="Price Each" attribute="1" defaultMemberUniqueName="[Table3].[Price Each].[All]" allUniqueName="[Table3].[Price Each].[All]" dimensionUniqueName="[Table3]" displayFolder="" count="0" memberValueDatatype="5" unbalanced="0"/>
    <cacheHierarchy uniqueName="[Table3].[Order Date]" caption="Order Date" attribute="1" time="1" defaultMemberUniqueName="[Table3].[Order Date].[All]" allUniqueName="[Table3].[Order Date].[All]" dimensionUniqueName="[Table3]" displayFolder="" count="2" memberValueDatatype="7" unbalanced="0">
      <fieldsUsage count="2">
        <fieldUsage x="-1"/>
        <fieldUsage x="0"/>
      </fieldsUsage>
    </cacheHierarchy>
    <cacheHierarchy uniqueName="[Table3].[Purchase Address]" caption="Purchase Address" attribute="1" defaultMemberUniqueName="[Table3].[Purchase Address].[All]" allUniqueName="[Table3].[Purchase Address].[All]" dimensionUniqueName="[Table3]" displayFolder="" count="0" memberValueDatatype="130" unbalanced="0"/>
    <cacheHierarchy uniqueName="[Table3].[Total Amount]" caption="Total Amount" attribute="1" defaultMemberUniqueName="[Table3].[Total Amount].[All]" allUniqueName="[Table3].[Total Amount].[All]" dimensionUniqueName="[Table3]" displayFolder="" count="0" memberValueDatatype="5" unbalanced="0"/>
    <cacheHierarchy uniqueName="[Table3].[City]" caption="City" attribute="1" defaultMemberUniqueName="[Table3].[City].[All]" allUniqueName="[Table3].[City].[All]" dimensionUniqueName="[Table3]" displayFolder="" count="0" memberValueDatatype="130" unbalanced="0"/>
    <cacheHierarchy uniqueName="[Table3].[Order Date (Day)]" caption="Order Date (Day)" attribute="1" defaultMemberUniqueName="[Table3].[Order Date (Day)].[All]" allUniqueName="[Table3].[Order Date (Day)].[All]" dimensionUniqueName="[Table3]" displayFolder="" count="2" memberValueDatatype="130" unbalanced="0">
      <fieldsUsage count="2">
        <fieldUsage x="-1"/>
        <fieldUsage x="3"/>
      </fieldsUsage>
    </cacheHierarchy>
    <cacheHierarchy uniqueName="[Table3].[Order Date (Hour)]" caption="Order Date (Hour)" attribute="1" defaultMemberUniqueName="[Table3].[Order Date (Hour)].[All]" allUniqueName="[Table3].[Order Date (Hour)].[All]" dimensionUniqueName="[Table3]" displayFolder="" count="2" memberValueDatatype="130" unbalanced="0">
      <fieldsUsage count="2">
        <fieldUsage x="-1"/>
        <fieldUsage x="2"/>
      </fieldsUsage>
    </cacheHierarchy>
    <cacheHierarchy uniqueName="[Table3].[Order Date (Minute)]" caption="Order Date (Minute)" attribute="1" defaultMemberUniqueName="[Table3].[Order Date (Minute)].[All]" allUniqueName="[Table3].[Order Date (Minute)].[All]" dimensionUniqueName="[Table3]" displayFolder="" count="2" memberValueDatatype="130" unbalanced="0">
      <fieldsUsage count="2">
        <fieldUsage x="-1"/>
        <fieldUsage x="1"/>
      </fieldsUsage>
    </cacheHierarchy>
    <cacheHierarchy uniqueName="[Table3].[Month]" caption="Month" attribute="1" defaultMemberUniqueName="[Table3].[Month].[All]" allUniqueName="[Table3].[Month].[All]" dimensionUniqueName="[Table3]" displayFolder="" count="0" memberValueDatatype="130" unbalanced="0"/>
    <cacheHierarchy uniqueName="[Table3].[Category]" caption="Category" attribute="1" defaultMemberUniqueName="[Table3].[Category].[All]" allUniqueName="[Table3].[Category].[All]" dimensionUniqueName="[Table3]" displayFolder="" count="0" memberValueDatatype="130" unbalanced="0"/>
    <cacheHierarchy uniqueName="[Table3].[Order Date (Day Index)]" caption="Order Date (Day Index)" attribute="1" defaultMemberUniqueName="[Table3].[Order Date (Day Index)].[All]" allUniqueName="[Table3].[Order Date (Day Index)].[All]" dimensionUniqueName="[Table3]" displayFolder="" count="0" memberValueDatatype="5" unbalanced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Total Amount]" caption="Sum of Total Amount" measure="1" displayFolder="" measureGroup="Table3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Table3" uniqueName="[Table3]" caption="Table3"/>
  </dimensions>
  <measureGroups count="1">
    <measureGroup name="Table3" caption="Table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034.483099884259" backgroundQuery="1" createdVersion="8" refreshedVersion="8" minRefreshableVersion="3" recordCount="0" supportSubquery="1" supportAdvancedDrill="1" xr:uid="{D8C2FFDB-BE19-49F0-819B-71021F1D9B23}">
  <cacheSource type="external" connectionId="1"/>
  <cacheFields count="2">
    <cacheField name="[Table3].[City].[City]" caption="City" numFmtId="0" hierarchy="7" level="1">
      <sharedItems count="5">
        <s v="Boston"/>
        <s v="Los Angeles"/>
        <s v="New York City"/>
        <s v="Portland"/>
        <s v="San Francisco"/>
      </sharedItems>
    </cacheField>
    <cacheField name="[Measures].[Sum of Total Amount]" caption="Sum of Total Amount" numFmtId="0" hierarchy="16" level="32767"/>
  </cacheFields>
  <cacheHierarchies count="17">
    <cacheHierarchy uniqueName="[Table3].[Order ID]" caption="Order ID" attribute="1" defaultMemberUniqueName="[Table3].[Order ID].[All]" allUniqueName="[Table3].[Order ID].[All]" dimensionUniqueName="[Table3]" displayFolder="" count="0" memberValueDatatype="20" unbalanced="0"/>
    <cacheHierarchy uniqueName="[Table3].[Product]" caption="Product" attribute="1" defaultMemberUniqueName="[Table3].[Product].[All]" allUniqueName="[Table3].[Product].[All]" dimensionUniqueName="[Table3]" displayFolder="" count="0" memberValueDatatype="130" unbalanced="0"/>
    <cacheHierarchy uniqueName="[Table3].[Quantity Ordered]" caption="Quantity Ordered" attribute="1" defaultMemberUniqueName="[Table3].[Quantity Ordered].[All]" allUniqueName="[Table3].[Quantity Ordered].[All]" dimensionUniqueName="[Table3]" displayFolder="" count="0" memberValueDatatype="20" unbalanced="0"/>
    <cacheHierarchy uniqueName="[Table3].[Price Each]" caption="Price Each" attribute="1" defaultMemberUniqueName="[Table3].[Price Each].[All]" allUniqueName="[Table3].[Price Each].[All]" dimensionUniqueName="[Table3]" displayFolder="" count="0" memberValueDatatype="5" unbalanced="0"/>
    <cacheHierarchy uniqueName="[Table3].[Order Date]" caption="Order Date" attribute="1" time="1" defaultMemberUniqueName="[Table3].[Order Date].[All]" allUniqueName="[Table3].[Order Date].[All]" dimensionUniqueName="[Table3]" displayFolder="" count="0" memberValueDatatype="7" unbalanced="0"/>
    <cacheHierarchy uniqueName="[Table3].[Purchase Address]" caption="Purchase Address" attribute="1" defaultMemberUniqueName="[Table3].[Purchase Address].[All]" allUniqueName="[Table3].[Purchase Address].[All]" dimensionUniqueName="[Table3]" displayFolder="" count="0" memberValueDatatype="130" unbalanced="0"/>
    <cacheHierarchy uniqueName="[Table3].[Total Amount]" caption="Total Amount" attribute="1" defaultMemberUniqueName="[Table3].[Total Amount].[All]" allUniqueName="[Table3].[Total Amount].[All]" dimensionUniqueName="[Table3]" displayFolder="" count="0" memberValueDatatype="5" unbalanced="0"/>
    <cacheHierarchy uniqueName="[Table3].[City]" caption="City" attribute="1" defaultMemberUniqueName="[Table3].[City].[All]" allUniqueName="[Table3].[City].[All]" dimensionUniqueName="[Table3]" displayFolder="" count="2" memberValueDatatype="130" unbalanced="0">
      <fieldsUsage count="2">
        <fieldUsage x="-1"/>
        <fieldUsage x="0"/>
      </fieldsUsage>
    </cacheHierarchy>
    <cacheHierarchy uniqueName="[Table3].[Order Date (Day)]" caption="Order Date (Day)" attribute="1" defaultMemberUniqueName="[Table3].[Order Date (Day)].[All]" allUniqueName="[Table3].[Order Date (Day)].[All]" dimensionUniqueName="[Table3]" displayFolder="" count="0" memberValueDatatype="130" unbalanced="0"/>
    <cacheHierarchy uniqueName="[Table3].[Order Date (Hour)]" caption="Order Date (Hour)" attribute="1" defaultMemberUniqueName="[Table3].[Order Date (Hour)].[All]" allUniqueName="[Table3].[Order Date (Hour)].[All]" dimensionUniqueName="[Table3]" displayFolder="" count="0" memberValueDatatype="130" unbalanced="0"/>
    <cacheHierarchy uniqueName="[Table3].[Order Date (Minute)]" caption="Order Date (Minute)" attribute="1" defaultMemberUniqueName="[Table3].[Order Date (Minute)].[All]" allUniqueName="[Table3].[Order Date (Minute)].[All]" dimensionUniqueName="[Table3]" displayFolder="" count="0" memberValueDatatype="130" unbalanced="0"/>
    <cacheHierarchy uniqueName="[Table3].[Month]" caption="Month" attribute="1" defaultMemberUniqueName="[Table3].[Month].[All]" allUniqueName="[Table3].[Month].[All]" dimensionUniqueName="[Table3]" displayFolder="" count="0" memberValueDatatype="130" unbalanced="0"/>
    <cacheHierarchy uniqueName="[Table3].[Category]" caption="Category" attribute="1" defaultMemberUniqueName="[Table3].[Category].[All]" allUniqueName="[Table3].[Category].[All]" dimensionUniqueName="[Table3]" displayFolder="" count="0" memberValueDatatype="130" unbalanced="0"/>
    <cacheHierarchy uniqueName="[Table3].[Order Date (Day Index)]" caption="Order Date (Day Index)" attribute="1" defaultMemberUniqueName="[Table3].[Order Date (Day Index)].[All]" allUniqueName="[Table3].[Order Date (Day Index)].[All]" dimensionUniqueName="[Table3]" displayFolder="" count="0" memberValueDatatype="5" unbalanced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Total Amount]" caption="Sum of Total Amount" measure="1" displayFolder="" measureGroup="Tabl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Table3" uniqueName="[Table3]" caption="Table3"/>
  </dimensions>
  <measureGroups count="1">
    <measureGroup name="Table3" caption="Table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n v="176558"/>
    <x v="0"/>
    <n v="2"/>
    <n v="11.95"/>
    <d v="2019-04-19T08:46:00"/>
    <s v="917 1st St, Dallas, TX 75001"/>
    <n v="23.9"/>
  </r>
  <r>
    <n v="176559"/>
    <x v="1"/>
    <n v="1"/>
    <n v="99.99"/>
    <d v="2019-04-07T22:30:00"/>
    <s v="682 Chestnut St, Boston, MA 02215"/>
    <n v="99.99"/>
  </r>
  <r>
    <n v="176560"/>
    <x v="2"/>
    <n v="1"/>
    <n v="600"/>
    <d v="2019-04-12T14:38:00"/>
    <s v="669 Spruce St, Los Angeles, CA 90001"/>
    <n v="600"/>
  </r>
  <r>
    <n v="176560"/>
    <x v="3"/>
    <n v="1"/>
    <n v="11.99"/>
    <d v="2019-04-12T14:38:00"/>
    <s v="669 Spruce St, Los Angeles, CA 90001"/>
    <n v="11.99"/>
  </r>
  <r>
    <n v="176561"/>
    <x v="3"/>
    <n v="1"/>
    <n v="11.99"/>
    <d v="2019-04-30T09:27:00"/>
    <s v="333 8th St, Los Angeles, CA 90001"/>
    <n v="11.99"/>
  </r>
  <r>
    <n v="176562"/>
    <x v="0"/>
    <n v="1"/>
    <n v="11.95"/>
    <d v="2019-04-29T13:03:00"/>
    <s v="381 Wilson St, San Francisco, CA 94016"/>
    <n v="11.95"/>
  </r>
  <r>
    <n v="176563"/>
    <x v="1"/>
    <n v="1"/>
    <n v="99.99"/>
    <d v="2019-04-02T07:46:00"/>
    <s v="668 Center St, Seattle, WA 98101"/>
    <n v="99.99"/>
  </r>
  <r>
    <n v="176564"/>
    <x v="0"/>
    <n v="1"/>
    <n v="11.95"/>
    <d v="2019-04-12T10:58:00"/>
    <s v="790 Ridge St, Atlanta, GA 30301"/>
    <n v="11.95"/>
  </r>
  <r>
    <n v="176565"/>
    <x v="4"/>
    <n v="1"/>
    <n v="1700"/>
    <d v="2019-04-24T10:38:00"/>
    <s v="915 Willow St, San Francisco, CA 94016"/>
    <n v="1700"/>
  </r>
  <r>
    <n v="176566"/>
    <x v="3"/>
    <n v="1"/>
    <n v="11.99"/>
    <d v="2019-04-08T14:05:00"/>
    <s v="83 7th St, Boston, MA 02215"/>
    <n v="11.99"/>
  </r>
  <r>
    <n v="176567"/>
    <x v="2"/>
    <n v="1"/>
    <n v="600"/>
    <d v="2019-04-18T17:18:00"/>
    <s v="444 7th St, Los Angeles, CA 90001"/>
    <n v="600"/>
  </r>
  <r>
    <n v="176568"/>
    <x v="5"/>
    <n v="1"/>
    <n v="14.95"/>
    <d v="2019-04-15T12:18:00"/>
    <s v="438 Elm St, Seattle, WA 98101"/>
    <n v="14.95"/>
  </r>
  <r>
    <n v="176569"/>
    <x v="6"/>
    <n v="1"/>
    <n v="389.99"/>
    <d v="2019-04-16T19:23:00"/>
    <s v="657 Hill St, Dallas, TX 75001"/>
    <n v="389.99"/>
  </r>
  <r>
    <n v="176570"/>
    <x v="7"/>
    <n v="1"/>
    <n v="3.84"/>
    <d v="2019-04-22T15:09:00"/>
    <s v="186 12th St, Dallas, TX 75001"/>
    <n v="3.84"/>
  </r>
  <r>
    <n v="176571"/>
    <x v="5"/>
    <n v="1"/>
    <n v="14.95"/>
    <d v="2019-04-19T14:29:00"/>
    <s v="253 Johnson St, Atlanta, GA 30301"/>
    <n v="14.95"/>
  </r>
  <r>
    <n v="176572"/>
    <x v="8"/>
    <n v="1"/>
    <n v="150"/>
    <d v="2019-04-04T20:30:00"/>
    <s v="149 Dogwood St, New York City, NY 10001"/>
    <n v="150"/>
  </r>
  <r>
    <n v="176573"/>
    <x v="0"/>
    <n v="1"/>
    <n v="11.95"/>
    <d v="2019-04-27T18:41:00"/>
    <s v="214 Chestnut St, San Francisco, CA 94016"/>
    <n v="11.95"/>
  </r>
  <r>
    <n v="176574"/>
    <x v="2"/>
    <n v="1"/>
    <n v="600"/>
    <d v="2019-04-03T19:42:00"/>
    <s v="20 Hill St, Los Angeles, CA 90001"/>
    <n v="600"/>
  </r>
  <r>
    <n v="176574"/>
    <x v="0"/>
    <n v="1"/>
    <n v="11.95"/>
    <d v="2019-04-03T19:42:00"/>
    <s v="20 Hill St, Los Angeles, CA 90001"/>
    <n v="11.95"/>
  </r>
  <r>
    <n v="176575"/>
    <x v="9"/>
    <n v="1"/>
    <n v="2.99"/>
    <d v="2019-04-27T00:30:00"/>
    <s v="433 Hill St, New York City, NY 10001"/>
    <n v="2.99"/>
  </r>
  <r>
    <n v="176576"/>
    <x v="8"/>
    <n v="1"/>
    <n v="150"/>
    <d v="2019-04-28T11:42:00"/>
    <s v="771 Ridge St, Los Angeles, CA 90001"/>
    <n v="150"/>
  </r>
  <r>
    <n v="176577"/>
    <x v="8"/>
    <n v="1"/>
    <n v="150"/>
    <d v="2019-04-04T19:25:00"/>
    <s v="260 Spruce St, Dallas, TX 75001"/>
    <n v="150"/>
  </r>
  <r>
    <n v="176578"/>
    <x v="8"/>
    <n v="1"/>
    <n v="150"/>
    <d v="2019-04-09T23:35:00"/>
    <s v="513 Church St, Boston, MA 02215"/>
    <n v="150"/>
  </r>
  <r>
    <n v="176579"/>
    <x v="7"/>
    <n v="1"/>
    <n v="3.84"/>
    <d v="2019-04-11T10:23:00"/>
    <s v="886 Jefferson St, New York City, NY 10001"/>
    <n v="3.84"/>
  </r>
  <r>
    <n v="176580"/>
    <x v="0"/>
    <n v="1"/>
    <n v="11.95"/>
    <d v="2019-04-05T00:35:00"/>
    <s v="886 Willow St, Los Angeles, CA 90001"/>
    <n v="11.95"/>
  </r>
  <r>
    <n v="176581"/>
    <x v="10"/>
    <n v="1"/>
    <n v="700"/>
    <d v="2019-04-09T21:38:00"/>
    <s v="84 Jackson St, Boston, MA 02215"/>
    <n v="700"/>
  </r>
  <r>
    <n v="176582"/>
    <x v="1"/>
    <n v="1"/>
    <n v="99.99"/>
    <d v="2019-04-27T12:20:00"/>
    <s v="178 Lincoln St, Atlanta, GA 30301"/>
    <n v="99.99"/>
  </r>
  <r>
    <n v="176583"/>
    <x v="9"/>
    <n v="2"/>
    <n v="2.99"/>
    <d v="2019-04-20T12:00:00"/>
    <s v="146 Jackson St, Portland, OR 97035"/>
    <n v="5.98"/>
  </r>
  <r>
    <n v="176584"/>
    <x v="11"/>
    <n v="1"/>
    <n v="300"/>
    <d v="2019-04-24T20:39:00"/>
    <s v="936 Church St, San Francisco, CA 94016"/>
    <n v="300"/>
  </r>
  <r>
    <n v="176585"/>
    <x v="1"/>
    <n v="1"/>
    <n v="99.99"/>
    <d v="2019-04-07T11:31:00"/>
    <s v="823 Highland St, Boston, MA 02215"/>
    <n v="99.99"/>
  </r>
  <r>
    <n v="176585"/>
    <x v="1"/>
    <n v="1"/>
    <n v="99.99"/>
    <d v="2019-04-07T11:31:00"/>
    <s v="823 Highland St, Boston, MA 02215"/>
    <n v="99.99"/>
  </r>
  <r>
    <n v="176586"/>
    <x v="9"/>
    <n v="2"/>
    <n v="2.99"/>
    <d v="2019-04-10T17:00:00"/>
    <s v="365 Center St, San Francisco, CA 94016"/>
    <n v="5.98"/>
  </r>
  <r>
    <n v="176586"/>
    <x v="2"/>
    <n v="1"/>
    <n v="600"/>
    <d v="2019-04-10T17:00:00"/>
    <s v="365 Center St, San Francisco, CA 94016"/>
    <n v="600"/>
  </r>
  <r>
    <n v="176587"/>
    <x v="12"/>
    <n v="1"/>
    <n v="149.99"/>
    <d v="2019-04-29T19:38:00"/>
    <s v="557 5th St, Los Angeles, CA 90001"/>
    <n v="149.99"/>
  </r>
  <r>
    <n v="176588"/>
    <x v="13"/>
    <n v="1"/>
    <n v="109.99"/>
    <d v="2019-04-02T04:00:00"/>
    <s v="765 Cherry St, Seattle, WA 98101"/>
    <n v="109.99"/>
  </r>
  <r>
    <n v="176589"/>
    <x v="5"/>
    <n v="1"/>
    <n v="14.95"/>
    <d v="2019-04-04T12:23:00"/>
    <s v="846 Highland St, Atlanta, GA 30301"/>
    <n v="14.95"/>
  </r>
  <r>
    <n v="176590"/>
    <x v="2"/>
    <n v="1"/>
    <n v="600"/>
    <d v="2019-04-11T11:46:00"/>
    <s v="873 6th St, New York City, NY 10001"/>
    <n v="600"/>
  </r>
  <r>
    <n v="176591"/>
    <x v="8"/>
    <n v="1"/>
    <n v="150"/>
    <d v="2019-04-21T07:21:00"/>
    <s v="600 Maple St, Austin, TX 73301"/>
    <n v="150"/>
  </r>
  <r>
    <n v="176592"/>
    <x v="0"/>
    <n v="1"/>
    <n v="11.95"/>
    <d v="2019-04-27T13:04:00"/>
    <s v="352 4th St, Los Angeles, CA 90001"/>
    <n v="11.95"/>
  </r>
  <r>
    <n v="176593"/>
    <x v="5"/>
    <n v="2"/>
    <n v="14.95"/>
    <d v="2019-04-15T13:45:00"/>
    <s v="906 7th St, Portland, OR 97035"/>
    <n v="29.9"/>
  </r>
  <r>
    <n v="176594"/>
    <x v="3"/>
    <n v="1"/>
    <n v="11.99"/>
    <d v="2019-04-17T23:04:00"/>
    <s v="63 Maple St, San Francisco, CA 94016"/>
    <n v="11.99"/>
  </r>
  <r>
    <n v="176595"/>
    <x v="3"/>
    <n v="3"/>
    <n v="11.99"/>
    <d v="2019-04-02T09:11:00"/>
    <s v="383 6th St, Los Angeles, CA 90001"/>
    <n v="35.97"/>
  </r>
  <r>
    <n v="176596"/>
    <x v="8"/>
    <n v="1"/>
    <n v="150"/>
    <d v="2019-04-27T20:11:00"/>
    <s v="572 Meadow St, Dallas, TX 75001"/>
    <n v="150"/>
  </r>
  <r>
    <n v="176597"/>
    <x v="0"/>
    <n v="1"/>
    <n v="11.95"/>
    <d v="2019-04-19T13:39:00"/>
    <s v="681 11th St, San Francisco, CA 94016"/>
    <n v="11.95"/>
  </r>
  <r>
    <n v="176598"/>
    <x v="9"/>
    <n v="2"/>
    <n v="2.99"/>
    <d v="2019-04-21T20:33:00"/>
    <s v="294 Park St, San Francisco, CA 94016"/>
    <n v="5.98"/>
  </r>
  <r>
    <n v="176599"/>
    <x v="5"/>
    <n v="1"/>
    <n v="14.95"/>
    <d v="2019-04-11T15:25:00"/>
    <s v="279 Maple St, New York City, NY 10001"/>
    <n v="14.95"/>
  </r>
  <r>
    <n v="176600"/>
    <x v="6"/>
    <n v="1"/>
    <n v="389.99"/>
    <d v="2019-04-30T15:54:00"/>
    <s v="87 West St, Boston, MA 02215"/>
    <n v="389.99"/>
  </r>
  <r>
    <n v="176601"/>
    <x v="0"/>
    <n v="1"/>
    <n v="11.95"/>
    <d v="2019-04-02T22:32:00"/>
    <s v="754 10th St, Los Angeles, CA 90001"/>
    <n v="11.95"/>
  </r>
  <r>
    <n v="176602"/>
    <x v="5"/>
    <n v="1"/>
    <n v="14.95"/>
    <d v="2019-04-30T09:39:00"/>
    <s v="9 Jefferson St, Dallas, TX 75001"/>
    <n v="14.95"/>
  </r>
  <r>
    <n v="176603"/>
    <x v="0"/>
    <n v="1"/>
    <n v="11.95"/>
    <d v="2019-04-01T07:46:00"/>
    <s v="858 6th St, San Francisco, CA 94016"/>
    <n v="11.95"/>
  </r>
  <r>
    <n v="176604"/>
    <x v="0"/>
    <n v="1"/>
    <n v="11.95"/>
    <d v="2019-04-02T10:57:00"/>
    <s v="462 11th St, San Francisco, CA 94016"/>
    <n v="11.95"/>
  </r>
  <r>
    <n v="176605"/>
    <x v="0"/>
    <n v="1"/>
    <n v="11.95"/>
    <d v="2019-04-15T16:29:00"/>
    <s v="717 Pine St, San Francisco, CA 94016"/>
    <n v="11.95"/>
  </r>
  <r>
    <n v="176606"/>
    <x v="14"/>
    <n v="1"/>
    <n v="600"/>
    <d v="2019-04-21T14:16:00"/>
    <s v="487 Maple St, San Francisco, CA 94016"/>
    <n v="600"/>
  </r>
  <r>
    <n v="176607"/>
    <x v="9"/>
    <n v="2"/>
    <n v="2.99"/>
    <d v="2019-04-18T12:11:00"/>
    <s v="689 10th St, Boston, MA 02215"/>
    <n v="5.98"/>
  </r>
  <r>
    <n v="176608"/>
    <x v="10"/>
    <n v="1"/>
    <n v="700"/>
    <d v="2019-04-11T12:01:00"/>
    <s v="15 Cherry St, San Francisco, CA 94016"/>
    <n v="700"/>
  </r>
  <r>
    <n v="176609"/>
    <x v="8"/>
    <n v="1"/>
    <n v="150"/>
    <d v="2019-04-11T16:59:00"/>
    <s v="267 11th St, Austin, TX 73301"/>
    <n v="150"/>
  </r>
  <r>
    <n v="176610"/>
    <x v="9"/>
    <n v="1"/>
    <n v="2.99"/>
    <d v="2019-04-26T00:40:00"/>
    <s v="382 River St, Dallas, TX 75001"/>
    <n v="2.99"/>
  </r>
  <r>
    <n v="176611"/>
    <x v="1"/>
    <n v="1"/>
    <n v="99.99"/>
    <d v="2019-04-30T13:16:00"/>
    <s v="971 Sunset St, San Francisco, CA 94016"/>
    <n v="99.99"/>
  </r>
  <r>
    <n v="176612"/>
    <x v="8"/>
    <n v="1"/>
    <n v="150"/>
    <d v="2019-04-04T19:48:00"/>
    <s v="149 North St, Seattle, WA 98101"/>
    <n v="150"/>
  </r>
  <r>
    <n v="176613"/>
    <x v="0"/>
    <n v="2"/>
    <n v="11.95"/>
    <d v="2019-04-26T18:58:00"/>
    <s v="405 4th St, New York City, NY 10001"/>
    <n v="23.9"/>
  </r>
  <r>
    <n v="176614"/>
    <x v="7"/>
    <n v="1"/>
    <n v="3.84"/>
    <d v="2019-04-07T21:01:00"/>
    <s v="647 Jackson St, San Francisco, CA 94016"/>
    <n v="3.84"/>
  </r>
  <r>
    <n v="176615"/>
    <x v="5"/>
    <n v="1"/>
    <n v="14.95"/>
    <d v="2019-04-30T10:35:00"/>
    <s v="833 River St, Dallas, TX 75001"/>
    <n v="14.95"/>
  </r>
  <r>
    <n v="176616"/>
    <x v="0"/>
    <n v="1"/>
    <n v="11.95"/>
    <d v="2019-04-05T20:40:00"/>
    <s v="380 Washington St, San Francisco, CA 94016"/>
    <n v="11.95"/>
  </r>
  <r>
    <n v="176617"/>
    <x v="8"/>
    <n v="1"/>
    <n v="150"/>
    <d v="2019-04-25T08:03:00"/>
    <s v="319 8th St, Portland, OR 97035"/>
    <n v="150"/>
  </r>
  <r>
    <n v="176618"/>
    <x v="5"/>
    <n v="2"/>
    <n v="14.95"/>
    <d v="2019-04-18T21:44:00"/>
    <s v="273 South St, San Francisco, CA 94016"/>
    <n v="29.9"/>
  </r>
  <r>
    <n v="176619"/>
    <x v="11"/>
    <n v="1"/>
    <n v="300"/>
    <d v="2019-04-16T18:37:00"/>
    <s v="116 North St, Los Angeles, CA 90001"/>
    <n v="300"/>
  </r>
  <r>
    <n v="176620"/>
    <x v="0"/>
    <n v="1"/>
    <n v="11.95"/>
    <d v="2019-04-17T10:39:00"/>
    <s v="994 Pine St, Los Angeles, CA 90001"/>
    <n v="11.95"/>
  </r>
  <r>
    <n v="176621"/>
    <x v="5"/>
    <n v="1"/>
    <n v="14.95"/>
    <d v="2019-04-11T16:09:00"/>
    <s v="863 8th St, Boston, MA 02215"/>
    <n v="14.95"/>
  </r>
  <r>
    <n v="176622"/>
    <x v="7"/>
    <n v="1"/>
    <n v="3.84"/>
    <d v="2019-04-11T20:16:00"/>
    <s v="983 11th St, San Francisco, CA 94016"/>
    <n v="3.84"/>
  </r>
  <r>
    <n v="176623"/>
    <x v="12"/>
    <n v="1"/>
    <n v="149.99"/>
    <d v="2019-04-20T23:51:00"/>
    <s v="807 12th St, Atlanta, GA 30301"/>
    <n v="149.99"/>
  </r>
  <r>
    <n v="176624"/>
    <x v="7"/>
    <n v="1"/>
    <n v="3.84"/>
    <d v="2019-04-28T10:44:00"/>
    <s v="664 Church St, Seattle, WA 98101"/>
    <n v="3.84"/>
  </r>
  <r>
    <n v="176625"/>
    <x v="9"/>
    <n v="2"/>
    <n v="2.99"/>
    <d v="2019-04-24T19:00:00"/>
    <s v="858 5th St, San Francisco, CA 94016"/>
    <n v="5.98"/>
  </r>
  <r>
    <n v="176626"/>
    <x v="1"/>
    <n v="1"/>
    <n v="99.99"/>
    <d v="2019-04-01T21:40:00"/>
    <s v="491 Chestnut St, Boston, MA 02215"/>
    <n v="99.99"/>
  </r>
  <r>
    <n v="176627"/>
    <x v="3"/>
    <n v="1"/>
    <n v="11.99"/>
    <d v="2019-04-21T14:57:00"/>
    <s v="994 13th St, Atlanta, GA 30301"/>
    <n v="11.99"/>
  </r>
  <r>
    <n v="176628"/>
    <x v="5"/>
    <n v="2"/>
    <n v="14.95"/>
    <d v="2019-04-15T04:03:00"/>
    <s v="628 Wilson St, Dallas, TX 75001"/>
    <n v="29.9"/>
  </r>
  <r>
    <n v="176629"/>
    <x v="0"/>
    <n v="1"/>
    <n v="11.95"/>
    <d v="2019-04-24T11:56:00"/>
    <s v="101 Lincoln St, San Francisco, CA 94016"/>
    <n v="11.95"/>
  </r>
  <r>
    <n v="176630"/>
    <x v="2"/>
    <n v="1"/>
    <n v="600"/>
    <d v="2019-04-10T05:01:00"/>
    <s v="770 Maple St, San Francisco, CA 94016"/>
    <n v="600"/>
  </r>
  <r>
    <n v="176631"/>
    <x v="0"/>
    <n v="1"/>
    <n v="11.95"/>
    <d v="2019-04-13T18:48:00"/>
    <s v="292 Dogwood St, San Francisco, CA 94016"/>
    <n v="11.95"/>
  </r>
  <r>
    <n v="176632"/>
    <x v="9"/>
    <n v="1"/>
    <n v="2.99"/>
    <d v="2019-04-14T14:28:00"/>
    <s v="814 Madison St, San Francisco, CA 94016"/>
    <n v="2.99"/>
  </r>
  <r>
    <n v="176633"/>
    <x v="15"/>
    <n v="1"/>
    <n v="999.99"/>
    <d v="2019-04-23T14:03:00"/>
    <s v="863 Hickory St, Los Angeles, CA 90001"/>
    <n v="999.99"/>
  </r>
  <r>
    <n v="176634"/>
    <x v="5"/>
    <n v="1"/>
    <n v="14.95"/>
    <d v="2019-04-10T08:00:00"/>
    <s v="311 Madison St, Atlanta, GA 30301"/>
    <n v="14.95"/>
  </r>
  <r>
    <n v="176635"/>
    <x v="16"/>
    <n v="1"/>
    <n v="400"/>
    <d v="2019-04-26T09:55:00"/>
    <s v="85 North St, San Francisco, CA 94016"/>
    <n v="400"/>
  </r>
  <r>
    <n v="176636"/>
    <x v="7"/>
    <n v="1"/>
    <n v="3.84"/>
    <d v="2019-04-30T20:37:00"/>
    <s v="140 10th St, Boston, MA 02215"/>
    <n v="3.84"/>
  </r>
  <r>
    <n v="176637"/>
    <x v="9"/>
    <n v="1"/>
    <n v="2.99"/>
    <d v="2019-04-17T10:03:00"/>
    <s v="261 Sunset St, New York City, NY 10001"/>
    <n v="2.99"/>
  </r>
  <r>
    <n v="176638"/>
    <x v="0"/>
    <n v="1"/>
    <n v="11.95"/>
    <d v="2019-04-20T08:33:00"/>
    <s v="869 Cherry St, Boston, MA 02215"/>
    <n v="11.95"/>
  </r>
  <r>
    <n v="176639"/>
    <x v="4"/>
    <n v="1"/>
    <n v="1700"/>
    <d v="2019-04-28T16:14:00"/>
    <s v="853 Cedar St, San Francisco, CA 94016"/>
    <n v="1700"/>
  </r>
  <r>
    <n v="176640"/>
    <x v="3"/>
    <n v="2"/>
    <n v="11.99"/>
    <d v="2019-04-27T22:54:00"/>
    <s v="164 Lake St, San Francisco, CA 94016"/>
    <n v="23.98"/>
  </r>
  <r>
    <n v="176641"/>
    <x v="5"/>
    <n v="1"/>
    <n v="14.95"/>
    <d v="2019-04-25T21:36:00"/>
    <s v="655 Sunset St, Boston, MA 02215"/>
    <n v="14.95"/>
  </r>
  <r>
    <n v="176642"/>
    <x v="7"/>
    <n v="1"/>
    <n v="3.84"/>
    <d v="2019-04-17T18:38:00"/>
    <s v="72 Elm St, Portland, OR 97035"/>
    <n v="3.84"/>
  </r>
  <r>
    <n v="176643"/>
    <x v="4"/>
    <n v="1"/>
    <n v="1700"/>
    <d v="2019-04-27T21:32:00"/>
    <s v="373 Adams St, Boston, MA 02215"/>
    <n v="1700"/>
  </r>
  <r>
    <n v="176644"/>
    <x v="0"/>
    <n v="1"/>
    <n v="11.95"/>
    <d v="2019-04-23T02:09:00"/>
    <s v="962 7th St, Los Angeles, CA 90001"/>
    <n v="11.95"/>
  </r>
  <r>
    <n v="176645"/>
    <x v="9"/>
    <n v="3"/>
    <n v="2.99"/>
    <d v="2019-04-26T18:38:00"/>
    <s v="514 Lake St, Dallas, TX 75001"/>
    <n v="8.9700000000000006"/>
  </r>
  <r>
    <n v="176646"/>
    <x v="4"/>
    <n v="1"/>
    <n v="1700"/>
    <d v="2019-04-22T07:14:00"/>
    <s v="657 Adams St, Portland, OR 97035"/>
    <n v="1700"/>
  </r>
  <r>
    <n v="176647"/>
    <x v="2"/>
    <n v="1"/>
    <n v="600"/>
    <d v="2019-04-21T19:40:00"/>
    <s v="273 South St, Los Angeles, CA 90001"/>
    <n v="600"/>
  </r>
  <r>
    <n v="176648"/>
    <x v="12"/>
    <n v="1"/>
    <n v="149.99"/>
    <d v="2019-04-24T01:17:00"/>
    <s v="732 2nd St, Portland, OR 97035"/>
    <n v="149.99"/>
  </r>
  <r>
    <n v="176649"/>
    <x v="0"/>
    <n v="1"/>
    <n v="11.95"/>
    <d v="2019-04-09T08:49:00"/>
    <s v="702 11th St, San Francisco, CA 94016"/>
    <n v="11.95"/>
  </r>
  <r>
    <n v="176650"/>
    <x v="5"/>
    <n v="1"/>
    <n v="14.95"/>
    <d v="2019-04-12T16:47:00"/>
    <s v="153 River St, Boston, MA 02215"/>
    <n v="14.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81438A-A933-460D-B492-5A213BA8E41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:C24" firstHeaderRow="1" firstDataRow="1" firstDataCol="1"/>
  <pivotFields count="7">
    <pivotField showAll="0"/>
    <pivotField axis="axisRow" showAll="0" sortType="descending">
      <items count="18">
        <item x="13"/>
        <item x="6"/>
        <item x="12"/>
        <item x="7"/>
        <item x="9"/>
        <item x="8"/>
        <item x="1"/>
        <item x="11"/>
        <item x="2"/>
        <item x="10"/>
        <item x="14"/>
        <item x="5"/>
        <item x="4"/>
        <item x="15"/>
        <item x="0"/>
        <item x="1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numFmtId="22" showAll="0"/>
    <pivotField showAll="0"/>
    <pivotField dataField="1" numFmtId="1" showAll="0"/>
  </pivotFields>
  <rowFields count="1">
    <field x="1"/>
  </rowFields>
  <rowItems count="18">
    <i>
      <x v="12"/>
    </i>
    <i>
      <x v="8"/>
    </i>
    <i>
      <x v="9"/>
    </i>
    <i>
      <x v="5"/>
    </i>
    <i>
      <x v="13"/>
    </i>
    <i>
      <x v="1"/>
    </i>
    <i>
      <x v="6"/>
    </i>
    <i>
      <x v="7"/>
    </i>
    <i>
      <x v="10"/>
    </i>
    <i>
      <x v="2"/>
    </i>
    <i>
      <x v="15"/>
    </i>
    <i>
      <x v="14"/>
    </i>
    <i>
      <x v="11"/>
    </i>
    <i>
      <x v="16"/>
    </i>
    <i>
      <x/>
    </i>
    <i>
      <x v="4"/>
    </i>
    <i>
      <x v="3"/>
    </i>
    <i t="grand">
      <x/>
    </i>
  </rowItems>
  <colItems count="1">
    <i/>
  </colItems>
  <dataFields count="1">
    <dataField name="Sum of Total Amount" fld="6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827F68-0429-4889-A1B5-721FCC146192}" name="PivotTable11" cacheId="2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chartFormat="2">
  <location ref="B12:I15" firstHeaderRow="1" firstDataRow="2" firstDataCol="1"/>
  <pivotFields count="3"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1"/>
  </rowFields>
  <rowItems count="2">
    <i>
      <x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 Amount" fld="2" baseField="0" baseItem="0"/>
  </dataFields>
  <chartFormats count="12">
    <chartFormat chart="0" format="14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5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16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17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18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20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-commerce sales.xlsx!Table3"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A3CE82-474D-4E76-AE09-AE85BBDD9710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1:H22" firstHeaderRow="1" firstDataRow="2" firstDataCol="1"/>
  <pivotFields count="3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 Amount" fld="2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-commerce sales.xlsx!Table3"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F1983-B2ED-436C-AA1B-362A57661508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0:B16" firstHeaderRow="1" firstDataRow="1" firstDataCol="1"/>
  <pivotFields count="2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4"/>
    </i>
    <i>
      <x v="1"/>
    </i>
    <i>
      <x/>
    </i>
    <i>
      <x v="3"/>
    </i>
    <i>
      <x v="2"/>
    </i>
    <i t="grand">
      <x/>
    </i>
  </rowItems>
  <colItems count="1">
    <i/>
  </colItems>
  <dataFields count="1">
    <dataField name="Sum of Total Amoun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6">
      <autoFilter ref="A1">
        <filterColumn colId="0">
          <top10 val="5" filterVal="5"/>
        </filterColumn>
      </autoFilter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-commerce sales.xlsx!Table3"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7C2328-ADA3-4168-8B0B-17E9904519DC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0:B40" firstHeaderRow="1" firstDataRow="1" firstDataCol="1"/>
  <pivotFields count="5">
    <pivotField axis="axisRow" allDrilled="1" subtotalTop="0" showAll="0" dataSourceSort="1" defaultSubtotal="0" defaultAttributeDrillState="1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</items>
    </pivotField>
    <pivotField axis="axisRow" allDrilled="1" subtotalTop="0" showAll="0" dataSourceSort="1" defaultSubtotal="0">
      <items count="1">
        <item x="0" e="0"/>
      </items>
    </pivotField>
    <pivotField axis="axisRow" allDrilled="1" subtotalTop="0" showAll="0" dataSourceSort="1" defaultSubtotal="0">
      <items count="2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</items>
    </pivotField>
    <pivotField axis="axisRow" allDrilled="1" subtotalTop="0" showAll="0" dataSourceSort="1" defaultSubtotal="0">
      <items count="29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  <item x="26" e="0"/>
        <item x="27" e="0"/>
        <item x="28" e="0"/>
      </items>
    </pivotField>
    <pivotField dataField="1" subtotalTop="0" showAll="0" defaultSubtotal="0"/>
  </pivotFields>
  <rowFields count="4">
    <field x="3"/>
    <field x="2"/>
    <field x="1"/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Sum of Total Amount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4">
    <rowHierarchyUsage hierarchyUsage="8"/>
    <rowHierarchyUsage hierarchyUsage="9"/>
    <rowHierarchyUsage hierarchyUsage="10"/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-commerce sales.xlsx!Table3"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AE1050-ED74-4130-B47B-EA8083E6C7B2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0:B16" firstHeaderRow="1" firstDataRow="1" firstDataCol="1"/>
  <pivotFields count="7">
    <pivotField showAll="0"/>
    <pivotField axis="axisRow" showAll="0" measureFilter="1" sortType="ascending">
      <items count="18">
        <item x="13"/>
        <item x="6"/>
        <item x="12"/>
        <item x="7"/>
        <item x="9"/>
        <item x="8"/>
        <item x="1"/>
        <item x="11"/>
        <item x="2"/>
        <item x="10"/>
        <item x="14"/>
        <item x="5"/>
        <item x="4"/>
        <item x="15"/>
        <item x="0"/>
        <item x="1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numFmtId="22" showAll="0"/>
    <pivotField showAll="0"/>
    <pivotField dataField="1" numFmtId="1" showAll="0"/>
  </pivotFields>
  <rowFields count="1">
    <field x="1"/>
  </rowFields>
  <rowItems count="6">
    <i>
      <x v="13"/>
    </i>
    <i>
      <x v="5"/>
    </i>
    <i>
      <x v="9"/>
    </i>
    <i>
      <x v="8"/>
    </i>
    <i>
      <x v="12"/>
    </i>
    <i t="grand">
      <x/>
    </i>
  </rowItems>
  <colItems count="1">
    <i/>
  </colItems>
  <dataFields count="1">
    <dataField name="Sum of Total Amount" fld="6" baseField="0" baseItem="0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35D2CC-A5C6-4F0B-81C7-954455DF7FFE}" name="Table3" displayName="Table3" ref="A1:J98" totalsRowShown="0">
  <autoFilter ref="A1:J98" xr:uid="{EB35D2CC-A5C6-4F0B-81C7-954455DF7FFE}"/>
  <tableColumns count="10">
    <tableColumn id="1" xr3:uid="{96CEE517-9E7A-4656-8FB8-EF3835E4DD81}" name="Order ID"/>
    <tableColumn id="2" xr3:uid="{A2127792-8E27-44D8-A0DD-2AFABCCD77BF}" name="Product"/>
    <tableColumn id="3" xr3:uid="{FBBD37D4-BFF3-453F-93E5-9A16C55A305E}" name="Quantity Ordered"/>
    <tableColumn id="4" xr3:uid="{A9200F23-6C39-4F16-B5B3-0315BFF8D465}" name="Price Each"/>
    <tableColumn id="5" xr3:uid="{BB5D4E4B-51CE-4AA2-8E30-6649F932C4EF}" name="Order Date"/>
    <tableColumn id="6" xr3:uid="{D4E0465C-AD52-46D8-BDC8-EE660E949559}" name="Purchase Address"/>
    <tableColumn id="7" xr3:uid="{0ACF9724-DE94-4175-8720-0300C469CF7D}" name="Total Amount"/>
    <tableColumn id="8" xr3:uid="{0F304BCB-D380-4BA9-845F-098A1208E833}" name="City" dataDxfId="2">
      <calculatedColumnFormula>TRIM(MID(F2, FIND(",", F2)+1, FIND(",", F2, FIND(",", F2)+1) - FIND(",", F2)-1))</calculatedColumnFormula>
    </tableColumn>
    <tableColumn id="9" xr3:uid="{2B0C29B7-551A-4EBF-B7AC-9966804A334E}" name="Month" dataDxfId="1">
      <calculatedColumnFormula>TEXT(Table3[[#This Row],[Order Date]],"mmm-yyyy")</calculatedColumnFormula>
    </tableColumn>
    <tableColumn id="10" xr3:uid="{1764B2E3-9ECF-4139-A4AC-D91178361C08}" name="Category" dataDxfId="0">
      <calculatedColumnFormula>VLOOKUP(Table3[[#This Row],[Product]],$L$2:$M$20,2,FALSE)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8E41E-FEE5-46CD-874C-23E861EE497E}">
  <dimension ref="A1:M1048561"/>
  <sheetViews>
    <sheetView zoomScale="89" zoomScaleNormal="89" workbookViewId="0">
      <selection activeCell="J3" sqref="J3"/>
    </sheetView>
  </sheetViews>
  <sheetFormatPr defaultRowHeight="14.5" x14ac:dyDescent="0.35"/>
  <cols>
    <col min="1" max="1" width="10.453125" customWidth="1"/>
    <col min="2" max="2" width="26.453125" customWidth="1"/>
    <col min="3" max="3" width="16" customWidth="1"/>
    <col min="4" max="4" width="10.453125" customWidth="1"/>
    <col min="5" max="5" width="22.90625" customWidth="1"/>
    <col min="6" max="6" width="37.08984375" customWidth="1"/>
    <col min="7" max="7" width="13.26953125" customWidth="1"/>
    <col min="8" max="8" width="15.54296875" customWidth="1"/>
    <col min="9" max="9" width="12.1796875" customWidth="1"/>
    <col min="10" max="11" width="11.453125" customWidth="1"/>
    <col min="12" max="12" width="27.6328125" customWidth="1"/>
    <col min="13" max="97" width="11.453125" customWidth="1"/>
    <col min="98" max="997" width="12.453125" customWidth="1"/>
    <col min="998" max="9997" width="13.453125" customWidth="1"/>
    <col min="9998" max="16384" width="14.45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116</v>
      </c>
      <c r="H1" t="s">
        <v>120</v>
      </c>
      <c r="I1" t="s">
        <v>130</v>
      </c>
      <c r="J1" t="s">
        <v>160</v>
      </c>
    </row>
    <row r="2" spans="1:13" x14ac:dyDescent="0.35">
      <c r="A2">
        <v>176558</v>
      </c>
      <c r="B2" t="s">
        <v>6</v>
      </c>
      <c r="C2">
        <v>2</v>
      </c>
      <c r="D2" s="2">
        <v>11.95</v>
      </c>
      <c r="E2" s="1">
        <v>43574.365277777775</v>
      </c>
      <c r="F2" t="s">
        <v>7</v>
      </c>
      <c r="G2" s="2">
        <f>(Table3[[#This Row],[Quantity Ordered]]*Table3[[#This Row],[Price Each]])</f>
        <v>23.9</v>
      </c>
      <c r="H2" t="str">
        <f t="shared" ref="H2:H33" si="0">TRIM(MID(F2, FIND(",", F2)+1, FIND(",", F2, FIND(",", F2)+1) - FIND(",", F2)-1))</f>
        <v>Dallas</v>
      </c>
      <c r="I2" t="str">
        <f>TEXT(Table3[[#This Row],[Order Date]],"mmm-yyyy")</f>
        <v>Apr-2019</v>
      </c>
      <c r="J2" t="str">
        <f>VLOOKUP(Table3[[#This Row],[Product]],$L$2:$M$20,2,FALSE)</f>
        <v>Accessories</v>
      </c>
      <c r="L2" t="s">
        <v>1</v>
      </c>
      <c r="M2" t="s">
        <v>160</v>
      </c>
    </row>
    <row r="3" spans="1:13" x14ac:dyDescent="0.35">
      <c r="A3">
        <v>176559</v>
      </c>
      <c r="B3" t="s">
        <v>8</v>
      </c>
      <c r="C3">
        <v>1</v>
      </c>
      <c r="D3" s="2">
        <v>99.99</v>
      </c>
      <c r="E3" s="1">
        <v>43562.9375</v>
      </c>
      <c r="F3" t="s">
        <v>9</v>
      </c>
      <c r="G3" s="2">
        <f>(Table3[[#This Row],[Quantity Ordered]]*Table3[[#This Row],[Price Each]])</f>
        <v>99.99</v>
      </c>
      <c r="H3" t="str">
        <f t="shared" si="0"/>
        <v>Boston</v>
      </c>
      <c r="I3" t="str">
        <f>TEXT(Table3[[#This Row],[Order Date]],"mmm-yyyy")</f>
        <v>Apr-2019</v>
      </c>
      <c r="J3" t="str">
        <f>VLOOKUP(Table3[[#This Row],[Product]],$L$2:$M$20,2,FALSE)</f>
        <v>Accessories</v>
      </c>
      <c r="L3" t="s">
        <v>17</v>
      </c>
      <c r="M3" t="s">
        <v>162</v>
      </c>
    </row>
    <row r="4" spans="1:13" x14ac:dyDescent="0.35">
      <c r="A4">
        <v>176560</v>
      </c>
      <c r="B4" t="s">
        <v>10</v>
      </c>
      <c r="C4">
        <v>1</v>
      </c>
      <c r="D4" s="2">
        <v>600</v>
      </c>
      <c r="E4" s="1">
        <v>43567.609722222223</v>
      </c>
      <c r="F4" t="s">
        <v>11</v>
      </c>
      <c r="G4" s="2">
        <f>(Table3[[#This Row],[Quantity Ordered]]*Table3[[#This Row],[Price Each]])</f>
        <v>600</v>
      </c>
      <c r="H4" t="str">
        <f t="shared" si="0"/>
        <v>Los Angeles</v>
      </c>
      <c r="I4" t="str">
        <f>TEXT(Table3[[#This Row],[Order Date]],"mmm-yyyy")</f>
        <v>Apr-2019</v>
      </c>
      <c r="J4" t="str">
        <f>VLOOKUP(Table3[[#This Row],[Product]],$L$2:$M$20,2,FALSE)</f>
        <v>Mobile</v>
      </c>
      <c r="L4" t="s">
        <v>96</v>
      </c>
      <c r="M4" t="s">
        <v>162</v>
      </c>
    </row>
    <row r="5" spans="1:13" x14ac:dyDescent="0.35">
      <c r="A5">
        <v>176560</v>
      </c>
      <c r="B5" t="s">
        <v>12</v>
      </c>
      <c r="C5">
        <v>1</v>
      </c>
      <c r="D5" s="2">
        <v>11.99</v>
      </c>
      <c r="E5" s="1">
        <v>43567.609722222223</v>
      </c>
      <c r="F5" t="s">
        <v>11</v>
      </c>
      <c r="G5" s="2">
        <f>(Table3[[#This Row],[Quantity Ordered]]*Table3[[#This Row],[Price Each]])</f>
        <v>11.99</v>
      </c>
      <c r="H5" t="str">
        <f t="shared" si="0"/>
        <v>Los Angeles</v>
      </c>
      <c r="I5" t="str">
        <f>TEXT(Table3[[#This Row],[Order Date]],"mmm-yyyy")</f>
        <v>Apr-2019</v>
      </c>
      <c r="J5" t="str">
        <f>VLOOKUP(Table3[[#This Row],[Product]],$L$2:$M$20,2,FALSE)</f>
        <v>Accessories</v>
      </c>
      <c r="L5" t="s">
        <v>39</v>
      </c>
      <c r="M5" t="s">
        <v>168</v>
      </c>
    </row>
    <row r="6" spans="1:13" x14ac:dyDescent="0.35">
      <c r="A6">
        <v>176561</v>
      </c>
      <c r="B6" t="s">
        <v>12</v>
      </c>
      <c r="C6">
        <v>1</v>
      </c>
      <c r="D6" s="2">
        <v>11.99</v>
      </c>
      <c r="E6" s="1">
        <v>43585.393750000003</v>
      </c>
      <c r="F6" t="s">
        <v>13</v>
      </c>
      <c r="G6" s="2">
        <f>(Table3[[#This Row],[Quantity Ordered]]*Table3[[#This Row],[Price Each]])</f>
        <v>11.99</v>
      </c>
      <c r="H6" t="str">
        <f t="shared" si="0"/>
        <v>Los Angeles</v>
      </c>
      <c r="I6" t="str">
        <f>TEXT(Table3[[#This Row],[Order Date]],"mmm-yyyy")</f>
        <v>Apr-2019</v>
      </c>
      <c r="J6" t="str">
        <f>VLOOKUP(Table3[[#This Row],[Product]],$L$2:$M$20,2,FALSE)</f>
        <v>Accessories</v>
      </c>
      <c r="L6" t="s">
        <v>10</v>
      </c>
      <c r="M6" t="s">
        <v>168</v>
      </c>
    </row>
    <row r="7" spans="1:13" x14ac:dyDescent="0.35">
      <c r="A7">
        <v>176562</v>
      </c>
      <c r="B7" t="s">
        <v>6</v>
      </c>
      <c r="C7">
        <v>1</v>
      </c>
      <c r="D7" s="2">
        <v>11.95</v>
      </c>
      <c r="E7" s="1">
        <v>43584.543749999997</v>
      </c>
      <c r="F7" t="s">
        <v>14</v>
      </c>
      <c r="G7" s="2">
        <f>(Table3[[#This Row],[Quantity Ordered]]*Table3[[#This Row],[Price Each]])</f>
        <v>11.95</v>
      </c>
      <c r="H7" t="str">
        <f t="shared" si="0"/>
        <v>San Francisco</v>
      </c>
      <c r="I7" t="str">
        <f>TEXT(Table3[[#This Row],[Order Date]],"mmm-yyyy")</f>
        <v>Apr-2019</v>
      </c>
      <c r="J7" t="str">
        <f>VLOOKUP(Table3[[#This Row],[Product]],$L$2:$M$20,2,FALSE)</f>
        <v>Accessories</v>
      </c>
      <c r="L7" t="s">
        <v>28</v>
      </c>
      <c r="M7" t="s">
        <v>161</v>
      </c>
    </row>
    <row r="8" spans="1:13" x14ac:dyDescent="0.35">
      <c r="A8">
        <v>176563</v>
      </c>
      <c r="B8" t="s">
        <v>8</v>
      </c>
      <c r="C8">
        <v>1</v>
      </c>
      <c r="D8" s="2">
        <v>99.99</v>
      </c>
      <c r="E8" s="1">
        <v>43557.323611111111</v>
      </c>
      <c r="F8" t="s">
        <v>15</v>
      </c>
      <c r="G8" s="2">
        <f>(Table3[[#This Row],[Quantity Ordered]]*Table3[[#This Row],[Price Each]])</f>
        <v>99.99</v>
      </c>
      <c r="H8" t="str">
        <f t="shared" si="0"/>
        <v>Seattle</v>
      </c>
      <c r="I8" t="str">
        <f>TEXT(Table3[[#This Row],[Order Date]],"mmm-yyyy")</f>
        <v>Apr-2019</v>
      </c>
      <c r="J8" t="str">
        <f>VLOOKUP(Table3[[#This Row],[Product]],$L$2:$M$20,2,FALSE)</f>
        <v>Accessories</v>
      </c>
      <c r="L8" t="s">
        <v>21</v>
      </c>
      <c r="M8" t="s">
        <v>161</v>
      </c>
    </row>
    <row r="9" spans="1:13" x14ac:dyDescent="0.35">
      <c r="A9">
        <v>176564</v>
      </c>
      <c r="B9" t="s">
        <v>6</v>
      </c>
      <c r="C9">
        <v>1</v>
      </c>
      <c r="D9" s="2">
        <v>11.95</v>
      </c>
      <c r="E9" s="1">
        <v>43567.456944444442</v>
      </c>
      <c r="F9" t="s">
        <v>16</v>
      </c>
      <c r="G9" s="2">
        <f>(Table3[[#This Row],[Quantity Ordered]]*Table3[[#This Row],[Price Each]])</f>
        <v>11.95</v>
      </c>
      <c r="H9" t="str">
        <f t="shared" si="0"/>
        <v>Atlanta</v>
      </c>
      <c r="I9" t="str">
        <f>TEXT(Table3[[#This Row],[Order Date]],"mmm-yyyy")</f>
        <v>Apr-2019</v>
      </c>
      <c r="J9" t="str">
        <f>VLOOKUP(Table3[[#This Row],[Product]],$L$2:$M$20,2,FALSE)</f>
        <v>Accessories</v>
      </c>
      <c r="L9" t="s">
        <v>6</v>
      </c>
      <c r="M9" t="s">
        <v>161</v>
      </c>
    </row>
    <row r="10" spans="1:13" x14ac:dyDescent="0.35">
      <c r="A10">
        <v>176565</v>
      </c>
      <c r="B10" t="s">
        <v>17</v>
      </c>
      <c r="C10">
        <v>1</v>
      </c>
      <c r="D10" s="2">
        <v>1700</v>
      </c>
      <c r="E10" s="1">
        <v>43579.443055555559</v>
      </c>
      <c r="F10" t="s">
        <v>18</v>
      </c>
      <c r="G10" s="2">
        <f>(Table3[[#This Row],[Quantity Ordered]]*Table3[[#This Row],[Price Each]])</f>
        <v>1700</v>
      </c>
      <c r="H10" t="str">
        <f t="shared" si="0"/>
        <v>San Francisco</v>
      </c>
      <c r="I10" t="str">
        <f>TEXT(Table3[[#This Row],[Order Date]],"mmm-yyyy")</f>
        <v>Apr-2019</v>
      </c>
      <c r="J10" t="str">
        <f>VLOOKUP(Table3[[#This Row],[Product]],$L$2:$M$20,2,FALSE)</f>
        <v>Laptop</v>
      </c>
      <c r="L10" t="s">
        <v>32</v>
      </c>
      <c r="M10" t="s">
        <v>161</v>
      </c>
    </row>
    <row r="11" spans="1:13" x14ac:dyDescent="0.35">
      <c r="A11">
        <v>176566</v>
      </c>
      <c r="B11" t="s">
        <v>12</v>
      </c>
      <c r="C11">
        <v>1</v>
      </c>
      <c r="D11" s="2">
        <v>11.99</v>
      </c>
      <c r="E11" s="1">
        <v>43563.586805555555</v>
      </c>
      <c r="F11" t="s">
        <v>19</v>
      </c>
      <c r="G11" s="2">
        <f>(Table3[[#This Row],[Quantity Ordered]]*Table3[[#This Row],[Price Each]])</f>
        <v>11.99</v>
      </c>
      <c r="H11" t="str">
        <f t="shared" si="0"/>
        <v>Boston</v>
      </c>
      <c r="I11" t="str">
        <f>TEXT(Table3[[#This Row],[Order Date]],"mmm-yyyy")</f>
        <v>Apr-2019</v>
      </c>
      <c r="J11" t="str">
        <f>VLOOKUP(Table3[[#This Row],[Product]],$L$2:$M$20,2,FALSE)</f>
        <v>Accessories</v>
      </c>
      <c r="L11" t="s">
        <v>23</v>
      </c>
      <c r="M11" t="s">
        <v>165</v>
      </c>
    </row>
    <row r="12" spans="1:13" x14ac:dyDescent="0.35">
      <c r="A12">
        <v>176567</v>
      </c>
      <c r="B12" t="s">
        <v>10</v>
      </c>
      <c r="C12">
        <v>1</v>
      </c>
      <c r="D12" s="2">
        <v>600</v>
      </c>
      <c r="E12" s="1">
        <v>43573.720833333333</v>
      </c>
      <c r="F12" t="s">
        <v>20</v>
      </c>
      <c r="G12" s="2">
        <f>(Table3[[#This Row],[Quantity Ordered]]*Table3[[#This Row],[Price Each]])</f>
        <v>600</v>
      </c>
      <c r="H12" t="str">
        <f t="shared" si="0"/>
        <v>Los Angeles</v>
      </c>
      <c r="I12" t="str">
        <f>TEXT(Table3[[#This Row],[Order Date]],"mmm-yyyy")</f>
        <v>Apr-2019</v>
      </c>
      <c r="J12" t="str">
        <f>VLOOKUP(Table3[[#This Row],[Product]],$L$2:$M$20,2,FALSE)</f>
        <v>Mobile</v>
      </c>
      <c r="L12" t="s">
        <v>164</v>
      </c>
      <c r="M12" t="s">
        <v>163</v>
      </c>
    </row>
    <row r="13" spans="1:13" x14ac:dyDescent="0.35">
      <c r="A13">
        <v>176568</v>
      </c>
      <c r="B13" t="s">
        <v>21</v>
      </c>
      <c r="C13">
        <v>1</v>
      </c>
      <c r="D13" s="2">
        <v>14.95</v>
      </c>
      <c r="E13" s="1">
        <v>43570.512499999997</v>
      </c>
      <c r="F13" t="s">
        <v>22</v>
      </c>
      <c r="G13" s="2">
        <f>(Table3[[#This Row],[Quantity Ordered]]*Table3[[#This Row],[Price Each]])</f>
        <v>14.95</v>
      </c>
      <c r="H13" t="str">
        <f t="shared" si="0"/>
        <v>Seattle</v>
      </c>
      <c r="I13" t="str">
        <f>TEXT(Table3[[#This Row],[Order Date]],"mmm-yyyy")</f>
        <v>Apr-2019</v>
      </c>
      <c r="J13" t="str">
        <f>VLOOKUP(Table3[[#This Row],[Product]],$L$2:$M$20,2,FALSE)</f>
        <v>Accessories</v>
      </c>
      <c r="L13" t="s">
        <v>49</v>
      </c>
      <c r="M13" t="s">
        <v>165</v>
      </c>
    </row>
    <row r="14" spans="1:13" x14ac:dyDescent="0.35">
      <c r="A14">
        <v>176569</v>
      </c>
      <c r="B14" t="s">
        <v>23</v>
      </c>
      <c r="C14">
        <v>1</v>
      </c>
      <c r="D14" s="2">
        <v>389.99</v>
      </c>
      <c r="E14" s="1">
        <v>43571.807638888888</v>
      </c>
      <c r="F14" t="s">
        <v>24</v>
      </c>
      <c r="G14" s="2">
        <f>(Table3[[#This Row],[Quantity Ordered]]*Table3[[#This Row],[Price Each]])</f>
        <v>389.99</v>
      </c>
      <c r="H14" t="str">
        <f t="shared" si="0"/>
        <v>Dallas</v>
      </c>
      <c r="I14" t="str">
        <f>TEXT(Table3[[#This Row],[Order Date]],"mmm-yyyy")</f>
        <v>Apr-2019</v>
      </c>
      <c r="J14" t="str">
        <f>VLOOKUP(Table3[[#This Row],[Product]],$L$2:$M$20,2,FALSE)</f>
        <v>Monitor</v>
      </c>
      <c r="L14" t="s">
        <v>25</v>
      </c>
      <c r="M14" t="s">
        <v>161</v>
      </c>
    </row>
    <row r="15" spans="1:13" x14ac:dyDescent="0.35">
      <c r="A15">
        <v>176570</v>
      </c>
      <c r="B15" t="s">
        <v>25</v>
      </c>
      <c r="C15">
        <v>1</v>
      </c>
      <c r="D15" s="2">
        <v>3.84</v>
      </c>
      <c r="E15" s="1">
        <v>43577.631249999999</v>
      </c>
      <c r="F15" t="s">
        <v>26</v>
      </c>
      <c r="G15" s="2">
        <f>(Table3[[#This Row],[Quantity Ordered]]*Table3[[#This Row],[Price Each]])</f>
        <v>3.84</v>
      </c>
      <c r="H15" t="str">
        <f t="shared" si="0"/>
        <v>Dallas</v>
      </c>
      <c r="I15" t="str">
        <f>TEXT(Table3[[#This Row],[Order Date]],"mmm-yyyy")</f>
        <v>Apr-2019</v>
      </c>
      <c r="J15" t="str">
        <f>VLOOKUP(Table3[[#This Row],[Product]],$L$2:$M$20,2,FALSE)</f>
        <v>Accessories</v>
      </c>
      <c r="L15" t="s">
        <v>8</v>
      </c>
      <c r="M15" t="s">
        <v>161</v>
      </c>
    </row>
    <row r="16" spans="1:13" x14ac:dyDescent="0.35">
      <c r="A16">
        <v>176571</v>
      </c>
      <c r="B16" t="s">
        <v>21</v>
      </c>
      <c r="C16">
        <v>1</v>
      </c>
      <c r="D16" s="2">
        <v>14.95</v>
      </c>
      <c r="E16" s="1">
        <v>43574.603472222225</v>
      </c>
      <c r="F16" t="s">
        <v>27</v>
      </c>
      <c r="G16" s="2">
        <f>(Table3[[#This Row],[Quantity Ordered]]*Table3[[#This Row],[Price Each]])</f>
        <v>14.95</v>
      </c>
      <c r="H16" t="str">
        <f t="shared" si="0"/>
        <v>Atlanta</v>
      </c>
      <c r="I16" t="str">
        <f>TEXT(Table3[[#This Row],[Order Date]],"mmm-yyyy")</f>
        <v>Apr-2019</v>
      </c>
      <c r="J16" t="str">
        <f>VLOOKUP(Table3[[#This Row],[Product]],$L$2:$M$20,2,FALSE)</f>
        <v>Accessories</v>
      </c>
      <c r="L16" t="s">
        <v>12</v>
      </c>
      <c r="M16" t="s">
        <v>161</v>
      </c>
    </row>
    <row r="17" spans="1:13" x14ac:dyDescent="0.35">
      <c r="A17">
        <v>176572</v>
      </c>
      <c r="B17" t="s">
        <v>28</v>
      </c>
      <c r="C17">
        <v>1</v>
      </c>
      <c r="D17" s="2">
        <v>150</v>
      </c>
      <c r="E17" s="1">
        <v>43559.854166666664</v>
      </c>
      <c r="F17" t="s">
        <v>29</v>
      </c>
      <c r="G17" s="2">
        <f>(Table3[[#This Row],[Quantity Ordered]]*Table3[[#This Row],[Price Each]])</f>
        <v>150</v>
      </c>
      <c r="H17" t="str">
        <f t="shared" si="0"/>
        <v>New York City</v>
      </c>
      <c r="I17" t="str">
        <f>TEXT(Table3[[#This Row],[Order Date]],"mmm-yyyy")</f>
        <v>Apr-2019</v>
      </c>
      <c r="J17" t="str">
        <f>VLOOKUP(Table3[[#This Row],[Product]],$L$2:$M$20,2,FALSE)</f>
        <v>Accessories</v>
      </c>
      <c r="L17" t="s">
        <v>43</v>
      </c>
      <c r="M17" t="s">
        <v>163</v>
      </c>
    </row>
    <row r="18" spans="1:13" x14ac:dyDescent="0.35">
      <c r="A18">
        <v>176573</v>
      </c>
      <c r="B18" t="s">
        <v>6</v>
      </c>
      <c r="C18">
        <v>1</v>
      </c>
      <c r="D18" s="2">
        <v>11.95</v>
      </c>
      <c r="E18" s="1">
        <v>43582.77847222222</v>
      </c>
      <c r="F18" t="s">
        <v>30</v>
      </c>
      <c r="G18" s="2">
        <f>(Table3[[#This Row],[Quantity Ordered]]*Table3[[#This Row],[Price Each]])</f>
        <v>11.95</v>
      </c>
      <c r="H18" t="str">
        <f t="shared" si="0"/>
        <v>San Francisco</v>
      </c>
      <c r="I18" t="str">
        <f>TEXT(Table3[[#This Row],[Order Date]],"mmm-yyyy")</f>
        <v>Apr-2019</v>
      </c>
      <c r="J18" t="str">
        <f>VLOOKUP(Table3[[#This Row],[Product]],$L$2:$M$20,2,FALSE)</f>
        <v>Accessories</v>
      </c>
      <c r="L18" t="s">
        <v>47</v>
      </c>
      <c r="M18" t="s">
        <v>165</v>
      </c>
    </row>
    <row r="19" spans="1:13" x14ac:dyDescent="0.35">
      <c r="A19">
        <v>176574</v>
      </c>
      <c r="B19" t="s">
        <v>10</v>
      </c>
      <c r="C19">
        <v>1</v>
      </c>
      <c r="D19" s="2">
        <v>600</v>
      </c>
      <c r="E19" s="1">
        <v>43558.820833333331</v>
      </c>
      <c r="F19" t="s">
        <v>31</v>
      </c>
      <c r="G19" s="2">
        <f>(Table3[[#This Row],[Quantity Ordered]]*Table3[[#This Row],[Price Each]])</f>
        <v>600</v>
      </c>
      <c r="H19" t="str">
        <f t="shared" si="0"/>
        <v>Los Angeles</v>
      </c>
      <c r="I19" t="str">
        <f>TEXT(Table3[[#This Row],[Order Date]],"mmm-yyyy")</f>
        <v>Apr-2019</v>
      </c>
      <c r="J19" t="str">
        <f>VLOOKUP(Table3[[#This Row],[Product]],$L$2:$M$20,2,FALSE)</f>
        <v>Mobile</v>
      </c>
      <c r="L19" t="s">
        <v>68</v>
      </c>
      <c r="M19" t="s">
        <v>170</v>
      </c>
    </row>
    <row r="20" spans="1:13" x14ac:dyDescent="0.35">
      <c r="A20">
        <v>176574</v>
      </c>
      <c r="B20" t="s">
        <v>6</v>
      </c>
      <c r="C20">
        <v>1</v>
      </c>
      <c r="D20" s="2">
        <v>11.95</v>
      </c>
      <c r="E20" s="1">
        <v>43558.820833333331</v>
      </c>
      <c r="F20" t="s">
        <v>31</v>
      </c>
      <c r="G20" s="2">
        <f>(Table3[[#This Row],[Quantity Ordered]]*Table3[[#This Row],[Price Each]])</f>
        <v>11.95</v>
      </c>
      <c r="H20" t="str">
        <f t="shared" si="0"/>
        <v>Los Angeles</v>
      </c>
      <c r="I20" t="str">
        <f>TEXT(Table3[[#This Row],[Order Date]],"mmm-yyyy")</f>
        <v>Apr-2019</v>
      </c>
      <c r="J20" t="str">
        <f>VLOOKUP(Table3[[#This Row],[Product]],$L$2:$M$20,2,FALSE)</f>
        <v>Accessories</v>
      </c>
      <c r="L20" t="s">
        <v>99</v>
      </c>
      <c r="M20" t="s">
        <v>168</v>
      </c>
    </row>
    <row r="21" spans="1:13" x14ac:dyDescent="0.35">
      <c r="A21">
        <v>176575</v>
      </c>
      <c r="B21" t="s">
        <v>32</v>
      </c>
      <c r="C21">
        <v>1</v>
      </c>
      <c r="D21" s="2">
        <v>2.99</v>
      </c>
      <c r="E21" s="1">
        <v>43582.020833333336</v>
      </c>
      <c r="F21" t="s">
        <v>33</v>
      </c>
      <c r="G21" s="2">
        <f>(Table3[[#This Row],[Quantity Ordered]]*Table3[[#This Row],[Price Each]])</f>
        <v>2.99</v>
      </c>
      <c r="H21" t="str">
        <f t="shared" si="0"/>
        <v>New York City</v>
      </c>
      <c r="I21" t="str">
        <f>TEXT(Table3[[#This Row],[Order Date]],"mmm-yyyy")</f>
        <v>Apr-2019</v>
      </c>
      <c r="J21" t="str">
        <f>VLOOKUP(Table3[[#This Row],[Product]],$L$2:$M$20,2,FALSE)</f>
        <v>Accessories</v>
      </c>
    </row>
    <row r="22" spans="1:13" x14ac:dyDescent="0.35">
      <c r="A22">
        <v>176576</v>
      </c>
      <c r="B22" t="s">
        <v>28</v>
      </c>
      <c r="C22">
        <v>1</v>
      </c>
      <c r="D22" s="2">
        <v>150</v>
      </c>
      <c r="E22" s="1">
        <v>43583.487500000003</v>
      </c>
      <c r="F22" t="s">
        <v>34</v>
      </c>
      <c r="G22" s="2">
        <f>(Table3[[#This Row],[Quantity Ordered]]*Table3[[#This Row],[Price Each]])</f>
        <v>150</v>
      </c>
      <c r="H22" t="str">
        <f t="shared" si="0"/>
        <v>Los Angeles</v>
      </c>
      <c r="I22" t="str">
        <f>TEXT(Table3[[#This Row],[Order Date]],"mmm-yyyy")</f>
        <v>Apr-2019</v>
      </c>
      <c r="J22" t="str">
        <f>VLOOKUP(Table3[[#This Row],[Product]],$L$2:$M$20,2,FALSE)</f>
        <v>Accessories</v>
      </c>
    </row>
    <row r="23" spans="1:13" x14ac:dyDescent="0.35">
      <c r="A23">
        <v>176577</v>
      </c>
      <c r="B23" t="s">
        <v>28</v>
      </c>
      <c r="C23">
        <v>1</v>
      </c>
      <c r="D23" s="2">
        <v>150</v>
      </c>
      <c r="E23" s="1">
        <v>43559.809027777781</v>
      </c>
      <c r="F23" t="s">
        <v>35</v>
      </c>
      <c r="G23" s="2">
        <f>(Table3[[#This Row],[Quantity Ordered]]*Table3[[#This Row],[Price Each]])</f>
        <v>150</v>
      </c>
      <c r="H23" t="str">
        <f t="shared" si="0"/>
        <v>Dallas</v>
      </c>
      <c r="I23" t="str">
        <f>TEXT(Table3[[#This Row],[Order Date]],"mmm-yyyy")</f>
        <v>Apr-2019</v>
      </c>
      <c r="J23" t="str">
        <f>VLOOKUP(Table3[[#This Row],[Product]],$L$2:$M$20,2,FALSE)</f>
        <v>Accessories</v>
      </c>
    </row>
    <row r="24" spans="1:13" x14ac:dyDescent="0.35">
      <c r="A24">
        <v>176578</v>
      </c>
      <c r="B24" t="s">
        <v>28</v>
      </c>
      <c r="C24">
        <v>1</v>
      </c>
      <c r="D24" s="2">
        <v>150</v>
      </c>
      <c r="E24" s="1">
        <v>43564.982638888891</v>
      </c>
      <c r="F24" t="s">
        <v>36</v>
      </c>
      <c r="G24" s="2">
        <f>(Table3[[#This Row],[Quantity Ordered]]*Table3[[#This Row],[Price Each]])</f>
        <v>150</v>
      </c>
      <c r="H24" t="str">
        <f t="shared" si="0"/>
        <v>Boston</v>
      </c>
      <c r="I24" t="str">
        <f>TEXT(Table3[[#This Row],[Order Date]],"mmm-yyyy")</f>
        <v>Apr-2019</v>
      </c>
      <c r="J24" t="str">
        <f>VLOOKUP(Table3[[#This Row],[Product]],$L$2:$M$20,2,FALSE)</f>
        <v>Accessories</v>
      </c>
    </row>
    <row r="25" spans="1:13" x14ac:dyDescent="0.35">
      <c r="A25">
        <v>176579</v>
      </c>
      <c r="B25" t="s">
        <v>25</v>
      </c>
      <c r="C25">
        <v>1</v>
      </c>
      <c r="D25" s="2">
        <v>3.84</v>
      </c>
      <c r="E25" s="1">
        <v>43566.432638888888</v>
      </c>
      <c r="F25" t="s">
        <v>37</v>
      </c>
      <c r="G25" s="2">
        <f>(Table3[[#This Row],[Quantity Ordered]]*Table3[[#This Row],[Price Each]])</f>
        <v>3.84</v>
      </c>
      <c r="H25" t="str">
        <f t="shared" si="0"/>
        <v>New York City</v>
      </c>
      <c r="I25" t="str">
        <f>TEXT(Table3[[#This Row],[Order Date]],"mmm-yyyy")</f>
        <v>Apr-2019</v>
      </c>
      <c r="J25" t="str">
        <f>VLOOKUP(Table3[[#This Row],[Product]],$L$2:$M$20,2,FALSE)</f>
        <v>Accessories</v>
      </c>
    </row>
    <row r="26" spans="1:13" x14ac:dyDescent="0.35">
      <c r="A26">
        <v>176580</v>
      </c>
      <c r="B26" t="s">
        <v>6</v>
      </c>
      <c r="C26">
        <v>1</v>
      </c>
      <c r="D26" s="2">
        <v>11.95</v>
      </c>
      <c r="E26" s="1">
        <v>43560.024305555555</v>
      </c>
      <c r="F26" t="s">
        <v>38</v>
      </c>
      <c r="G26" s="2">
        <f>(Table3[[#This Row],[Quantity Ordered]]*Table3[[#This Row],[Price Each]])</f>
        <v>11.95</v>
      </c>
      <c r="H26" t="str">
        <f t="shared" si="0"/>
        <v>Los Angeles</v>
      </c>
      <c r="I26" t="str">
        <f>TEXT(Table3[[#This Row],[Order Date]],"mmm-yyyy")</f>
        <v>Apr-2019</v>
      </c>
      <c r="J26" t="str">
        <f>VLOOKUP(Table3[[#This Row],[Product]],$L$2:$M$20,2,FALSE)</f>
        <v>Accessories</v>
      </c>
    </row>
    <row r="27" spans="1:13" x14ac:dyDescent="0.35">
      <c r="A27">
        <v>176581</v>
      </c>
      <c r="B27" t="s">
        <v>39</v>
      </c>
      <c r="C27">
        <v>1</v>
      </c>
      <c r="D27" s="2">
        <v>700</v>
      </c>
      <c r="E27" s="1">
        <v>43564.901388888888</v>
      </c>
      <c r="F27" t="s">
        <v>40</v>
      </c>
      <c r="G27" s="2">
        <f>(Table3[[#This Row],[Quantity Ordered]]*Table3[[#This Row],[Price Each]])</f>
        <v>700</v>
      </c>
      <c r="H27" t="str">
        <f t="shared" si="0"/>
        <v>Boston</v>
      </c>
      <c r="I27" t="str">
        <f>TEXT(Table3[[#This Row],[Order Date]],"mmm-yyyy")</f>
        <v>Apr-2019</v>
      </c>
      <c r="J27" t="str">
        <f>VLOOKUP(Table3[[#This Row],[Product]],$L$2:$M$20,2,FALSE)</f>
        <v>Mobile</v>
      </c>
    </row>
    <row r="28" spans="1:13" x14ac:dyDescent="0.35">
      <c r="A28">
        <v>176582</v>
      </c>
      <c r="B28" t="s">
        <v>8</v>
      </c>
      <c r="C28">
        <v>1</v>
      </c>
      <c r="D28" s="2">
        <v>99.99</v>
      </c>
      <c r="E28" s="1">
        <v>43582.513888888891</v>
      </c>
      <c r="F28" t="s">
        <v>41</v>
      </c>
      <c r="G28" s="2">
        <f>(Table3[[#This Row],[Quantity Ordered]]*Table3[[#This Row],[Price Each]])</f>
        <v>99.99</v>
      </c>
      <c r="H28" t="str">
        <f t="shared" si="0"/>
        <v>Atlanta</v>
      </c>
      <c r="I28" t="str">
        <f>TEXT(Table3[[#This Row],[Order Date]],"mmm-yyyy")</f>
        <v>Apr-2019</v>
      </c>
      <c r="J28" t="str">
        <f>VLOOKUP(Table3[[#This Row],[Product]],$L$2:$M$20,2,FALSE)</f>
        <v>Accessories</v>
      </c>
    </row>
    <row r="29" spans="1:13" x14ac:dyDescent="0.35">
      <c r="A29">
        <v>176583</v>
      </c>
      <c r="B29" t="s">
        <v>32</v>
      </c>
      <c r="C29">
        <v>2</v>
      </c>
      <c r="D29" s="2">
        <v>2.99</v>
      </c>
      <c r="E29" s="1">
        <v>43575.5</v>
      </c>
      <c r="F29" t="s">
        <v>42</v>
      </c>
      <c r="G29" s="2">
        <f>(Table3[[#This Row],[Quantity Ordered]]*Table3[[#This Row],[Price Each]])</f>
        <v>5.98</v>
      </c>
      <c r="H29" t="str">
        <f t="shared" si="0"/>
        <v>Portland</v>
      </c>
      <c r="I29" t="str">
        <f>TEXT(Table3[[#This Row],[Order Date]],"mmm-yyyy")</f>
        <v>Apr-2019</v>
      </c>
      <c r="J29" t="str">
        <f>VLOOKUP(Table3[[#This Row],[Product]],$L$2:$M$20,2,FALSE)</f>
        <v>Accessories</v>
      </c>
    </row>
    <row r="30" spans="1:13" x14ac:dyDescent="0.35">
      <c r="A30">
        <v>176584</v>
      </c>
      <c r="B30" t="s">
        <v>43</v>
      </c>
      <c r="C30">
        <v>1</v>
      </c>
      <c r="D30" s="2">
        <v>300</v>
      </c>
      <c r="E30" s="1">
        <v>43579.86041666667</v>
      </c>
      <c r="F30" t="s">
        <v>44</v>
      </c>
      <c r="G30" s="2">
        <f>(Table3[[#This Row],[Quantity Ordered]]*Table3[[#This Row],[Price Each]])</f>
        <v>300</v>
      </c>
      <c r="H30" t="str">
        <f t="shared" si="0"/>
        <v>San Francisco</v>
      </c>
      <c r="I30" t="str">
        <f>TEXT(Table3[[#This Row],[Order Date]],"mmm-yyyy")</f>
        <v>Apr-2019</v>
      </c>
      <c r="J30" t="str">
        <f>VLOOKUP(Table3[[#This Row],[Product]],$L$2:$M$20,2,FALSE)</f>
        <v>Electronics</v>
      </c>
    </row>
    <row r="31" spans="1:13" x14ac:dyDescent="0.35">
      <c r="A31">
        <v>176585</v>
      </c>
      <c r="B31" t="s">
        <v>8</v>
      </c>
      <c r="C31">
        <v>1</v>
      </c>
      <c r="D31" s="2">
        <v>99.99</v>
      </c>
      <c r="E31" s="1">
        <v>43562.479861111111</v>
      </c>
      <c r="F31" t="s">
        <v>45</v>
      </c>
      <c r="G31" s="2">
        <f>(Table3[[#This Row],[Quantity Ordered]]*Table3[[#This Row],[Price Each]])</f>
        <v>99.99</v>
      </c>
      <c r="H31" t="str">
        <f t="shared" si="0"/>
        <v>Boston</v>
      </c>
      <c r="I31" t="str">
        <f>TEXT(Table3[[#This Row],[Order Date]],"mmm-yyyy")</f>
        <v>Apr-2019</v>
      </c>
      <c r="J31" t="str">
        <f>VLOOKUP(Table3[[#This Row],[Product]],$L$2:$M$20,2,FALSE)</f>
        <v>Accessories</v>
      </c>
    </row>
    <row r="32" spans="1:13" x14ac:dyDescent="0.35">
      <c r="A32">
        <v>176585</v>
      </c>
      <c r="B32" t="s">
        <v>8</v>
      </c>
      <c r="C32">
        <v>1</v>
      </c>
      <c r="D32" s="2">
        <v>99.99</v>
      </c>
      <c r="E32" s="1">
        <v>43562.479861111111</v>
      </c>
      <c r="F32" t="s">
        <v>45</v>
      </c>
      <c r="G32" s="2">
        <f>(Table3[[#This Row],[Quantity Ordered]]*Table3[[#This Row],[Price Each]])</f>
        <v>99.99</v>
      </c>
      <c r="H32" t="str">
        <f t="shared" si="0"/>
        <v>Boston</v>
      </c>
      <c r="I32" t="str">
        <f>TEXT(Table3[[#This Row],[Order Date]],"mmm-yyyy")</f>
        <v>Apr-2019</v>
      </c>
      <c r="J32" t="str">
        <f>VLOOKUP(Table3[[#This Row],[Product]],$L$2:$M$20,2,FALSE)</f>
        <v>Accessories</v>
      </c>
    </row>
    <row r="33" spans="1:10" x14ac:dyDescent="0.35">
      <c r="A33">
        <v>176586</v>
      </c>
      <c r="B33" t="s">
        <v>32</v>
      </c>
      <c r="C33">
        <v>2</v>
      </c>
      <c r="D33" s="2">
        <v>2.99</v>
      </c>
      <c r="E33" s="1">
        <v>43565.708333333336</v>
      </c>
      <c r="F33" t="s">
        <v>46</v>
      </c>
      <c r="G33" s="2">
        <f>(Table3[[#This Row],[Quantity Ordered]]*Table3[[#This Row],[Price Each]])</f>
        <v>5.98</v>
      </c>
      <c r="H33" t="str">
        <f t="shared" si="0"/>
        <v>San Francisco</v>
      </c>
      <c r="I33" t="str">
        <f>TEXT(Table3[[#This Row],[Order Date]],"mmm-yyyy")</f>
        <v>Apr-2019</v>
      </c>
      <c r="J33" t="str">
        <f>VLOOKUP(Table3[[#This Row],[Product]],$L$2:$M$20,2,FALSE)</f>
        <v>Accessories</v>
      </c>
    </row>
    <row r="34" spans="1:10" x14ac:dyDescent="0.35">
      <c r="A34">
        <v>176586</v>
      </c>
      <c r="B34" t="s">
        <v>10</v>
      </c>
      <c r="C34">
        <v>1</v>
      </c>
      <c r="D34" s="2">
        <v>600</v>
      </c>
      <c r="E34" s="1">
        <v>43565.708333333336</v>
      </c>
      <c r="F34" t="s">
        <v>46</v>
      </c>
      <c r="G34" s="2">
        <f>(Table3[[#This Row],[Quantity Ordered]]*Table3[[#This Row],[Price Each]])</f>
        <v>600</v>
      </c>
      <c r="H34" t="str">
        <f t="shared" ref="H34:H65" si="1">TRIM(MID(F34, FIND(",", F34)+1, FIND(",", F34, FIND(",", F34)+1) - FIND(",", F34)-1))</f>
        <v>San Francisco</v>
      </c>
      <c r="I34" t="str">
        <f>TEXT(Table3[[#This Row],[Order Date]],"mmm-yyyy")</f>
        <v>Apr-2019</v>
      </c>
      <c r="J34" t="str">
        <f>VLOOKUP(Table3[[#This Row],[Product]],$L$2:$M$20,2,FALSE)</f>
        <v>Mobile</v>
      </c>
    </row>
    <row r="35" spans="1:10" x14ac:dyDescent="0.35">
      <c r="A35">
        <v>176587</v>
      </c>
      <c r="B35" t="s">
        <v>47</v>
      </c>
      <c r="C35">
        <v>1</v>
      </c>
      <c r="D35" s="2">
        <v>149.99</v>
      </c>
      <c r="E35" s="1">
        <v>43584.818055555559</v>
      </c>
      <c r="F35" t="s">
        <v>48</v>
      </c>
      <c r="G35" s="2">
        <f>(Table3[[#This Row],[Quantity Ordered]]*Table3[[#This Row],[Price Each]])</f>
        <v>149.99</v>
      </c>
      <c r="H35" t="str">
        <f t="shared" si="1"/>
        <v>Los Angeles</v>
      </c>
      <c r="I35" t="str">
        <f>TEXT(Table3[[#This Row],[Order Date]],"mmm-yyyy")</f>
        <v>Apr-2019</v>
      </c>
      <c r="J35" t="str">
        <f>VLOOKUP(Table3[[#This Row],[Product]],$L$2:$M$20,2,FALSE)</f>
        <v>Monitor</v>
      </c>
    </row>
    <row r="36" spans="1:10" x14ac:dyDescent="0.35">
      <c r="A36">
        <v>176588</v>
      </c>
      <c r="B36" t="s">
        <v>49</v>
      </c>
      <c r="C36">
        <v>1</v>
      </c>
      <c r="D36" s="2">
        <v>109.99</v>
      </c>
      <c r="E36" s="1">
        <v>43557.166666666664</v>
      </c>
      <c r="F36" t="s">
        <v>50</v>
      </c>
      <c r="G36" s="2">
        <f>(Table3[[#This Row],[Quantity Ordered]]*Table3[[#This Row],[Price Each]])</f>
        <v>109.99</v>
      </c>
      <c r="H36" t="str">
        <f t="shared" si="1"/>
        <v>Seattle</v>
      </c>
      <c r="I36" t="str">
        <f>TEXT(Table3[[#This Row],[Order Date]],"mmm-yyyy")</f>
        <v>Apr-2019</v>
      </c>
      <c r="J36" t="str">
        <f>VLOOKUP(Table3[[#This Row],[Product]],$L$2:$M$20,2,FALSE)</f>
        <v>Monitor</v>
      </c>
    </row>
    <row r="37" spans="1:10" x14ac:dyDescent="0.35">
      <c r="A37">
        <v>176589</v>
      </c>
      <c r="B37" t="s">
        <v>21</v>
      </c>
      <c r="C37">
        <v>1</v>
      </c>
      <c r="D37" s="2">
        <v>14.95</v>
      </c>
      <c r="E37" s="1">
        <v>43559.515972222223</v>
      </c>
      <c r="F37" t="s">
        <v>51</v>
      </c>
      <c r="G37" s="2">
        <f>(Table3[[#This Row],[Quantity Ordered]]*Table3[[#This Row],[Price Each]])</f>
        <v>14.95</v>
      </c>
      <c r="H37" t="str">
        <f t="shared" si="1"/>
        <v>Atlanta</v>
      </c>
      <c r="I37" t="str">
        <f>TEXT(Table3[[#This Row],[Order Date]],"mmm-yyyy")</f>
        <v>Apr-2019</v>
      </c>
      <c r="J37" t="str">
        <f>VLOOKUP(Table3[[#This Row],[Product]],$L$2:$M$20,2,FALSE)</f>
        <v>Accessories</v>
      </c>
    </row>
    <row r="38" spans="1:10" x14ac:dyDescent="0.35">
      <c r="A38">
        <v>176590</v>
      </c>
      <c r="B38" t="s">
        <v>10</v>
      </c>
      <c r="C38">
        <v>1</v>
      </c>
      <c r="D38" s="2">
        <v>600</v>
      </c>
      <c r="E38" s="1">
        <v>43566.490277777775</v>
      </c>
      <c r="F38" t="s">
        <v>52</v>
      </c>
      <c r="G38" s="2">
        <f>(Table3[[#This Row],[Quantity Ordered]]*Table3[[#This Row],[Price Each]])</f>
        <v>600</v>
      </c>
      <c r="H38" t="str">
        <f t="shared" si="1"/>
        <v>New York City</v>
      </c>
      <c r="I38" t="str">
        <f>TEXT(Table3[[#This Row],[Order Date]],"mmm-yyyy")</f>
        <v>Apr-2019</v>
      </c>
      <c r="J38" t="str">
        <f>VLOOKUP(Table3[[#This Row],[Product]],$L$2:$M$20,2,FALSE)</f>
        <v>Mobile</v>
      </c>
    </row>
    <row r="39" spans="1:10" x14ac:dyDescent="0.35">
      <c r="A39">
        <v>176591</v>
      </c>
      <c r="B39" t="s">
        <v>28</v>
      </c>
      <c r="C39">
        <v>1</v>
      </c>
      <c r="D39" s="2">
        <v>150</v>
      </c>
      <c r="E39" s="1">
        <v>43576.306250000001</v>
      </c>
      <c r="F39" t="s">
        <v>53</v>
      </c>
      <c r="G39" s="2">
        <f>(Table3[[#This Row],[Quantity Ordered]]*Table3[[#This Row],[Price Each]])</f>
        <v>150</v>
      </c>
      <c r="H39" t="str">
        <f t="shared" si="1"/>
        <v>Austin</v>
      </c>
      <c r="I39" t="str">
        <f>TEXT(Table3[[#This Row],[Order Date]],"mmm-yyyy")</f>
        <v>Apr-2019</v>
      </c>
      <c r="J39" t="str">
        <f>VLOOKUP(Table3[[#This Row],[Product]],$L$2:$M$20,2,FALSE)</f>
        <v>Accessories</v>
      </c>
    </row>
    <row r="40" spans="1:10" x14ac:dyDescent="0.35">
      <c r="A40">
        <v>176592</v>
      </c>
      <c r="B40" t="s">
        <v>6</v>
      </c>
      <c r="C40">
        <v>1</v>
      </c>
      <c r="D40" s="2">
        <v>11.95</v>
      </c>
      <c r="E40" s="1">
        <v>43582.544444444444</v>
      </c>
      <c r="F40" t="s">
        <v>54</v>
      </c>
      <c r="G40" s="2">
        <f>(Table3[[#This Row],[Quantity Ordered]]*Table3[[#This Row],[Price Each]])</f>
        <v>11.95</v>
      </c>
      <c r="H40" t="str">
        <f t="shared" si="1"/>
        <v>Los Angeles</v>
      </c>
      <c r="I40" t="str">
        <f>TEXT(Table3[[#This Row],[Order Date]],"mmm-yyyy")</f>
        <v>Apr-2019</v>
      </c>
      <c r="J40" t="str">
        <f>VLOOKUP(Table3[[#This Row],[Product]],$L$2:$M$20,2,FALSE)</f>
        <v>Accessories</v>
      </c>
    </row>
    <row r="41" spans="1:10" x14ac:dyDescent="0.35">
      <c r="A41">
        <v>176593</v>
      </c>
      <c r="B41" t="s">
        <v>21</v>
      </c>
      <c r="C41">
        <v>2</v>
      </c>
      <c r="D41" s="2">
        <v>14.95</v>
      </c>
      <c r="E41" s="1">
        <v>43570.572916666664</v>
      </c>
      <c r="F41" t="s">
        <v>55</v>
      </c>
      <c r="G41" s="2">
        <f>(Table3[[#This Row],[Quantity Ordered]]*Table3[[#This Row],[Price Each]])</f>
        <v>29.9</v>
      </c>
      <c r="H41" t="str">
        <f t="shared" si="1"/>
        <v>Portland</v>
      </c>
      <c r="I41" t="str">
        <f>TEXT(Table3[[#This Row],[Order Date]],"mmm-yyyy")</f>
        <v>Apr-2019</v>
      </c>
      <c r="J41" t="str">
        <f>VLOOKUP(Table3[[#This Row],[Product]],$L$2:$M$20,2,FALSE)</f>
        <v>Accessories</v>
      </c>
    </row>
    <row r="42" spans="1:10" x14ac:dyDescent="0.35">
      <c r="A42">
        <v>176594</v>
      </c>
      <c r="B42" t="s">
        <v>12</v>
      </c>
      <c r="C42">
        <v>1</v>
      </c>
      <c r="D42" s="2">
        <v>11.99</v>
      </c>
      <c r="E42" s="1">
        <v>43572.961111111108</v>
      </c>
      <c r="F42" t="s">
        <v>56</v>
      </c>
      <c r="G42" s="2">
        <f>(Table3[[#This Row],[Quantity Ordered]]*Table3[[#This Row],[Price Each]])</f>
        <v>11.99</v>
      </c>
      <c r="H42" t="str">
        <f t="shared" si="1"/>
        <v>San Francisco</v>
      </c>
      <c r="I42" t="str">
        <f>TEXT(Table3[[#This Row],[Order Date]],"mmm-yyyy")</f>
        <v>Apr-2019</v>
      </c>
      <c r="J42" t="str">
        <f>VLOOKUP(Table3[[#This Row],[Product]],$L$2:$M$20,2,FALSE)</f>
        <v>Accessories</v>
      </c>
    </row>
    <row r="43" spans="1:10" x14ac:dyDescent="0.35">
      <c r="A43">
        <v>176595</v>
      </c>
      <c r="B43" t="s">
        <v>12</v>
      </c>
      <c r="C43">
        <v>3</v>
      </c>
      <c r="D43" s="2">
        <v>11.99</v>
      </c>
      <c r="E43" s="1">
        <v>43557.382638888892</v>
      </c>
      <c r="F43" t="s">
        <v>57</v>
      </c>
      <c r="G43" s="2">
        <f>(Table3[[#This Row],[Quantity Ordered]]*Table3[[#This Row],[Price Each]])</f>
        <v>35.97</v>
      </c>
      <c r="H43" t="str">
        <f t="shared" si="1"/>
        <v>Los Angeles</v>
      </c>
      <c r="I43" t="str">
        <f>TEXT(Table3[[#This Row],[Order Date]],"mmm-yyyy")</f>
        <v>Apr-2019</v>
      </c>
      <c r="J43" t="str">
        <f>VLOOKUP(Table3[[#This Row],[Product]],$L$2:$M$20,2,FALSE)</f>
        <v>Accessories</v>
      </c>
    </row>
    <row r="44" spans="1:10" x14ac:dyDescent="0.35">
      <c r="A44">
        <v>176596</v>
      </c>
      <c r="B44" t="s">
        <v>28</v>
      </c>
      <c r="C44">
        <v>1</v>
      </c>
      <c r="D44" s="2">
        <v>150</v>
      </c>
      <c r="E44" s="1">
        <v>43582.84097222222</v>
      </c>
      <c r="F44" t="s">
        <v>58</v>
      </c>
      <c r="G44" s="2">
        <f>(Table3[[#This Row],[Quantity Ordered]]*Table3[[#This Row],[Price Each]])</f>
        <v>150</v>
      </c>
      <c r="H44" t="str">
        <f t="shared" si="1"/>
        <v>Dallas</v>
      </c>
      <c r="I44" t="str">
        <f>TEXT(Table3[[#This Row],[Order Date]],"mmm-yyyy")</f>
        <v>Apr-2019</v>
      </c>
      <c r="J44" t="str">
        <f>VLOOKUP(Table3[[#This Row],[Product]],$L$2:$M$20,2,FALSE)</f>
        <v>Accessories</v>
      </c>
    </row>
    <row r="45" spans="1:10" x14ac:dyDescent="0.35">
      <c r="A45">
        <v>176597</v>
      </c>
      <c r="B45" t="s">
        <v>6</v>
      </c>
      <c r="C45">
        <v>1</v>
      </c>
      <c r="D45" s="2">
        <v>11.95</v>
      </c>
      <c r="E45" s="1">
        <v>43574.568749999999</v>
      </c>
      <c r="F45" t="s">
        <v>59</v>
      </c>
      <c r="G45" s="2">
        <f>(Table3[[#This Row],[Quantity Ordered]]*Table3[[#This Row],[Price Each]])</f>
        <v>11.95</v>
      </c>
      <c r="H45" t="str">
        <f t="shared" si="1"/>
        <v>San Francisco</v>
      </c>
      <c r="I45" t="str">
        <f>TEXT(Table3[[#This Row],[Order Date]],"mmm-yyyy")</f>
        <v>Apr-2019</v>
      </c>
      <c r="J45" t="str">
        <f>VLOOKUP(Table3[[#This Row],[Product]],$L$2:$M$20,2,FALSE)</f>
        <v>Accessories</v>
      </c>
    </row>
    <row r="46" spans="1:10" x14ac:dyDescent="0.35">
      <c r="A46">
        <v>176598</v>
      </c>
      <c r="B46" t="s">
        <v>32</v>
      </c>
      <c r="C46">
        <v>2</v>
      </c>
      <c r="D46" s="2">
        <v>2.99</v>
      </c>
      <c r="E46" s="1">
        <v>43576.856249999997</v>
      </c>
      <c r="F46" t="s">
        <v>60</v>
      </c>
      <c r="G46" s="2">
        <f>(Table3[[#This Row],[Quantity Ordered]]*Table3[[#This Row],[Price Each]])</f>
        <v>5.98</v>
      </c>
      <c r="H46" t="str">
        <f t="shared" si="1"/>
        <v>San Francisco</v>
      </c>
      <c r="I46" t="str">
        <f>TEXT(Table3[[#This Row],[Order Date]],"mmm-yyyy")</f>
        <v>Apr-2019</v>
      </c>
      <c r="J46" t="str">
        <f>VLOOKUP(Table3[[#This Row],[Product]],$L$2:$M$20,2,FALSE)</f>
        <v>Accessories</v>
      </c>
    </row>
    <row r="47" spans="1:10" x14ac:dyDescent="0.35">
      <c r="A47">
        <v>176599</v>
      </c>
      <c r="B47" t="s">
        <v>21</v>
      </c>
      <c r="C47">
        <v>1</v>
      </c>
      <c r="D47" s="2">
        <v>14.95</v>
      </c>
      <c r="E47" s="1">
        <v>43566.642361111109</v>
      </c>
      <c r="F47" t="s">
        <v>61</v>
      </c>
      <c r="G47" s="2">
        <f>(Table3[[#This Row],[Quantity Ordered]]*Table3[[#This Row],[Price Each]])</f>
        <v>14.95</v>
      </c>
      <c r="H47" t="str">
        <f t="shared" si="1"/>
        <v>New York City</v>
      </c>
      <c r="I47" t="str">
        <f>TEXT(Table3[[#This Row],[Order Date]],"mmm-yyyy")</f>
        <v>Apr-2019</v>
      </c>
      <c r="J47" t="str">
        <f>VLOOKUP(Table3[[#This Row],[Product]],$L$2:$M$20,2,FALSE)</f>
        <v>Accessories</v>
      </c>
    </row>
    <row r="48" spans="1:10" x14ac:dyDescent="0.35">
      <c r="A48">
        <v>176600</v>
      </c>
      <c r="B48" t="s">
        <v>23</v>
      </c>
      <c r="C48">
        <v>1</v>
      </c>
      <c r="D48" s="2">
        <v>389.99</v>
      </c>
      <c r="E48" s="1">
        <v>43585.662499999999</v>
      </c>
      <c r="F48" t="s">
        <v>62</v>
      </c>
      <c r="G48" s="2">
        <f>(Table3[[#This Row],[Quantity Ordered]]*Table3[[#This Row],[Price Each]])</f>
        <v>389.99</v>
      </c>
      <c r="H48" t="str">
        <f t="shared" si="1"/>
        <v>Boston</v>
      </c>
      <c r="I48" t="str">
        <f>TEXT(Table3[[#This Row],[Order Date]],"mmm-yyyy")</f>
        <v>Apr-2019</v>
      </c>
      <c r="J48" t="str">
        <f>VLOOKUP(Table3[[#This Row],[Product]],$L$2:$M$20,2,FALSE)</f>
        <v>Monitor</v>
      </c>
    </row>
    <row r="49" spans="1:10" x14ac:dyDescent="0.35">
      <c r="A49">
        <v>176601</v>
      </c>
      <c r="B49" t="s">
        <v>6</v>
      </c>
      <c r="C49">
        <v>1</v>
      </c>
      <c r="D49" s="2">
        <v>11.95</v>
      </c>
      <c r="E49" s="1">
        <v>43557.938888888886</v>
      </c>
      <c r="F49" t="s">
        <v>63</v>
      </c>
      <c r="G49" s="2">
        <f>(Table3[[#This Row],[Quantity Ordered]]*Table3[[#This Row],[Price Each]])</f>
        <v>11.95</v>
      </c>
      <c r="H49" t="str">
        <f t="shared" si="1"/>
        <v>Los Angeles</v>
      </c>
      <c r="I49" t="str">
        <f>TEXT(Table3[[#This Row],[Order Date]],"mmm-yyyy")</f>
        <v>Apr-2019</v>
      </c>
      <c r="J49" t="str">
        <f>VLOOKUP(Table3[[#This Row],[Product]],$L$2:$M$20,2,FALSE)</f>
        <v>Accessories</v>
      </c>
    </row>
    <row r="50" spans="1:10" x14ac:dyDescent="0.35">
      <c r="A50">
        <v>176602</v>
      </c>
      <c r="B50" t="s">
        <v>21</v>
      </c>
      <c r="C50">
        <v>1</v>
      </c>
      <c r="D50" s="2">
        <v>14.95</v>
      </c>
      <c r="E50" s="1">
        <v>43585.402083333334</v>
      </c>
      <c r="F50" t="s">
        <v>64</v>
      </c>
      <c r="G50" s="2">
        <f>(Table3[[#This Row],[Quantity Ordered]]*Table3[[#This Row],[Price Each]])</f>
        <v>14.95</v>
      </c>
      <c r="H50" t="str">
        <f t="shared" si="1"/>
        <v>Dallas</v>
      </c>
      <c r="I50" t="str">
        <f>TEXT(Table3[[#This Row],[Order Date]],"mmm-yyyy")</f>
        <v>Apr-2019</v>
      </c>
      <c r="J50" t="str">
        <f>VLOOKUP(Table3[[#This Row],[Product]],$L$2:$M$20,2,FALSE)</f>
        <v>Accessories</v>
      </c>
    </row>
    <row r="51" spans="1:10" x14ac:dyDescent="0.35">
      <c r="A51">
        <v>176603</v>
      </c>
      <c r="B51" t="s">
        <v>6</v>
      </c>
      <c r="C51">
        <v>1</v>
      </c>
      <c r="D51" s="2">
        <v>11.95</v>
      </c>
      <c r="E51" s="1">
        <v>43556.323611111111</v>
      </c>
      <c r="F51" t="s">
        <v>65</v>
      </c>
      <c r="G51" s="2">
        <f>(Table3[[#This Row],[Quantity Ordered]]*Table3[[#This Row],[Price Each]])</f>
        <v>11.95</v>
      </c>
      <c r="H51" t="str">
        <f t="shared" si="1"/>
        <v>San Francisco</v>
      </c>
      <c r="I51" t="str">
        <f>TEXT(Table3[[#This Row],[Order Date]],"mmm-yyyy")</f>
        <v>Apr-2019</v>
      </c>
      <c r="J51" t="str">
        <f>VLOOKUP(Table3[[#This Row],[Product]],$L$2:$M$20,2,FALSE)</f>
        <v>Accessories</v>
      </c>
    </row>
    <row r="52" spans="1:10" x14ac:dyDescent="0.35">
      <c r="A52">
        <v>176604</v>
      </c>
      <c r="B52" t="s">
        <v>6</v>
      </c>
      <c r="C52">
        <v>1</v>
      </c>
      <c r="D52" s="2">
        <v>11.95</v>
      </c>
      <c r="E52" s="1">
        <v>43557.456250000003</v>
      </c>
      <c r="F52" t="s">
        <v>66</v>
      </c>
      <c r="G52" s="2">
        <f>(Table3[[#This Row],[Quantity Ordered]]*Table3[[#This Row],[Price Each]])</f>
        <v>11.95</v>
      </c>
      <c r="H52" t="str">
        <f t="shared" si="1"/>
        <v>San Francisco</v>
      </c>
      <c r="I52" t="str">
        <f>TEXT(Table3[[#This Row],[Order Date]],"mmm-yyyy")</f>
        <v>Apr-2019</v>
      </c>
      <c r="J52" t="str">
        <f>VLOOKUP(Table3[[#This Row],[Product]],$L$2:$M$20,2,FALSE)</f>
        <v>Accessories</v>
      </c>
    </row>
    <row r="53" spans="1:10" x14ac:dyDescent="0.35">
      <c r="A53">
        <v>176605</v>
      </c>
      <c r="B53" t="s">
        <v>6</v>
      </c>
      <c r="C53">
        <v>1</v>
      </c>
      <c r="D53" s="2">
        <v>11.95</v>
      </c>
      <c r="E53" s="1">
        <v>43570.686805555553</v>
      </c>
      <c r="F53" t="s">
        <v>67</v>
      </c>
      <c r="G53" s="2">
        <f>(Table3[[#This Row],[Quantity Ordered]]*Table3[[#This Row],[Price Each]])</f>
        <v>11.95</v>
      </c>
      <c r="H53" t="str">
        <f t="shared" si="1"/>
        <v>San Francisco</v>
      </c>
      <c r="I53" t="str">
        <f>TEXT(Table3[[#This Row],[Order Date]],"mmm-yyyy")</f>
        <v>Apr-2019</v>
      </c>
      <c r="J53" t="str">
        <f>VLOOKUP(Table3[[#This Row],[Product]],$L$2:$M$20,2,FALSE)</f>
        <v>Accessories</v>
      </c>
    </row>
    <row r="54" spans="1:10" x14ac:dyDescent="0.35">
      <c r="A54">
        <v>176606</v>
      </c>
      <c r="B54" t="s">
        <v>68</v>
      </c>
      <c r="C54">
        <v>1</v>
      </c>
      <c r="D54" s="2">
        <v>600</v>
      </c>
      <c r="E54" s="1">
        <v>43576.594444444447</v>
      </c>
      <c r="F54" t="s">
        <v>69</v>
      </c>
      <c r="G54" s="2">
        <f>(Table3[[#This Row],[Quantity Ordered]]*Table3[[#This Row],[Price Each]])</f>
        <v>600</v>
      </c>
      <c r="H54" t="str">
        <f t="shared" si="1"/>
        <v>San Francisco</v>
      </c>
      <c r="I54" t="str">
        <f>TEXT(Table3[[#This Row],[Order Date]],"mmm-yyyy")</f>
        <v>Apr-2019</v>
      </c>
      <c r="J54" t="str">
        <f>VLOOKUP(Table3[[#This Row],[Product]],$L$2:$M$20,2,FALSE)</f>
        <v>Appliances</v>
      </c>
    </row>
    <row r="55" spans="1:10" x14ac:dyDescent="0.35">
      <c r="A55">
        <v>176607</v>
      </c>
      <c r="B55" t="s">
        <v>32</v>
      </c>
      <c r="C55">
        <v>2</v>
      </c>
      <c r="D55" s="2">
        <v>2.99</v>
      </c>
      <c r="E55" s="1">
        <v>43573.507638888892</v>
      </c>
      <c r="F55" t="s">
        <v>70</v>
      </c>
      <c r="G55" s="2">
        <f>(Table3[[#This Row],[Quantity Ordered]]*Table3[[#This Row],[Price Each]])</f>
        <v>5.98</v>
      </c>
      <c r="H55" t="str">
        <f t="shared" si="1"/>
        <v>Boston</v>
      </c>
      <c r="I55" t="str">
        <f>TEXT(Table3[[#This Row],[Order Date]],"mmm-yyyy")</f>
        <v>Apr-2019</v>
      </c>
      <c r="J55" t="str">
        <f>VLOOKUP(Table3[[#This Row],[Product]],$L$2:$M$20,2,FALSE)</f>
        <v>Accessories</v>
      </c>
    </row>
    <row r="56" spans="1:10" x14ac:dyDescent="0.35">
      <c r="A56">
        <v>176608</v>
      </c>
      <c r="B56" t="s">
        <v>39</v>
      </c>
      <c r="C56">
        <v>1</v>
      </c>
      <c r="D56" s="2">
        <v>700</v>
      </c>
      <c r="E56" s="1">
        <v>43566.500694444447</v>
      </c>
      <c r="F56" t="s">
        <v>71</v>
      </c>
      <c r="G56" s="2">
        <f>(Table3[[#This Row],[Quantity Ordered]]*Table3[[#This Row],[Price Each]])</f>
        <v>700</v>
      </c>
      <c r="H56" t="str">
        <f t="shared" si="1"/>
        <v>San Francisco</v>
      </c>
      <c r="I56" t="str">
        <f>TEXT(Table3[[#This Row],[Order Date]],"mmm-yyyy")</f>
        <v>Apr-2019</v>
      </c>
      <c r="J56" t="str">
        <f>VLOOKUP(Table3[[#This Row],[Product]],$L$2:$M$20,2,FALSE)</f>
        <v>Mobile</v>
      </c>
    </row>
    <row r="57" spans="1:10" x14ac:dyDescent="0.35">
      <c r="A57">
        <v>176609</v>
      </c>
      <c r="B57" t="s">
        <v>28</v>
      </c>
      <c r="C57">
        <v>1</v>
      </c>
      <c r="D57" s="2">
        <v>150</v>
      </c>
      <c r="E57" s="1">
        <v>43566.707638888889</v>
      </c>
      <c r="F57" t="s">
        <v>72</v>
      </c>
      <c r="G57" s="2">
        <f>(Table3[[#This Row],[Quantity Ordered]]*Table3[[#This Row],[Price Each]])</f>
        <v>150</v>
      </c>
      <c r="H57" t="str">
        <f t="shared" si="1"/>
        <v>Austin</v>
      </c>
      <c r="I57" t="str">
        <f>TEXT(Table3[[#This Row],[Order Date]],"mmm-yyyy")</f>
        <v>Apr-2019</v>
      </c>
      <c r="J57" t="str">
        <f>VLOOKUP(Table3[[#This Row],[Product]],$L$2:$M$20,2,FALSE)</f>
        <v>Accessories</v>
      </c>
    </row>
    <row r="58" spans="1:10" x14ac:dyDescent="0.35">
      <c r="A58">
        <v>176610</v>
      </c>
      <c r="B58" t="s">
        <v>32</v>
      </c>
      <c r="C58">
        <v>1</v>
      </c>
      <c r="D58" s="2">
        <v>2.99</v>
      </c>
      <c r="E58" s="1">
        <v>43581.027777777781</v>
      </c>
      <c r="F58" t="s">
        <v>73</v>
      </c>
      <c r="G58" s="2">
        <f>(Table3[[#This Row],[Quantity Ordered]]*Table3[[#This Row],[Price Each]])</f>
        <v>2.99</v>
      </c>
      <c r="H58" t="str">
        <f t="shared" si="1"/>
        <v>Dallas</v>
      </c>
      <c r="I58" t="str">
        <f>TEXT(Table3[[#This Row],[Order Date]],"mmm-yyyy")</f>
        <v>Apr-2019</v>
      </c>
      <c r="J58" t="str">
        <f>VLOOKUP(Table3[[#This Row],[Product]],$L$2:$M$20,2,FALSE)</f>
        <v>Accessories</v>
      </c>
    </row>
    <row r="59" spans="1:10" x14ac:dyDescent="0.35">
      <c r="A59">
        <v>176611</v>
      </c>
      <c r="B59" t="s">
        <v>8</v>
      </c>
      <c r="C59">
        <v>1</v>
      </c>
      <c r="D59" s="2">
        <v>99.99</v>
      </c>
      <c r="E59" s="1">
        <v>43585.552777777775</v>
      </c>
      <c r="F59" t="s">
        <v>74</v>
      </c>
      <c r="G59" s="2">
        <f>(Table3[[#This Row],[Quantity Ordered]]*Table3[[#This Row],[Price Each]])</f>
        <v>99.99</v>
      </c>
      <c r="H59" t="str">
        <f t="shared" si="1"/>
        <v>San Francisco</v>
      </c>
      <c r="I59" t="str">
        <f>TEXT(Table3[[#This Row],[Order Date]],"mmm-yyyy")</f>
        <v>Apr-2019</v>
      </c>
      <c r="J59" t="str">
        <f>VLOOKUP(Table3[[#This Row],[Product]],$L$2:$M$20,2,FALSE)</f>
        <v>Accessories</v>
      </c>
    </row>
    <row r="60" spans="1:10" x14ac:dyDescent="0.35">
      <c r="A60">
        <v>176612</v>
      </c>
      <c r="B60" t="s">
        <v>28</v>
      </c>
      <c r="C60">
        <v>1</v>
      </c>
      <c r="D60" s="2">
        <v>150</v>
      </c>
      <c r="E60" s="1">
        <v>43559.824999999997</v>
      </c>
      <c r="F60" t="s">
        <v>75</v>
      </c>
      <c r="G60" s="2">
        <f>(Table3[[#This Row],[Quantity Ordered]]*Table3[[#This Row],[Price Each]])</f>
        <v>150</v>
      </c>
      <c r="H60" t="str">
        <f t="shared" si="1"/>
        <v>Seattle</v>
      </c>
      <c r="I60" t="str">
        <f>TEXT(Table3[[#This Row],[Order Date]],"mmm-yyyy")</f>
        <v>Apr-2019</v>
      </c>
      <c r="J60" t="str">
        <f>VLOOKUP(Table3[[#This Row],[Product]],$L$2:$M$20,2,FALSE)</f>
        <v>Accessories</v>
      </c>
    </row>
    <row r="61" spans="1:10" x14ac:dyDescent="0.35">
      <c r="A61">
        <v>176613</v>
      </c>
      <c r="B61" t="s">
        <v>6</v>
      </c>
      <c r="C61">
        <v>2</v>
      </c>
      <c r="D61" s="2">
        <v>11.95</v>
      </c>
      <c r="E61" s="1">
        <v>43581.790277777778</v>
      </c>
      <c r="F61" t="s">
        <v>76</v>
      </c>
      <c r="G61" s="2">
        <f>(Table3[[#This Row],[Quantity Ordered]]*Table3[[#This Row],[Price Each]])</f>
        <v>23.9</v>
      </c>
      <c r="H61" t="str">
        <f t="shared" si="1"/>
        <v>New York City</v>
      </c>
      <c r="I61" t="str">
        <f>TEXT(Table3[[#This Row],[Order Date]],"mmm-yyyy")</f>
        <v>Apr-2019</v>
      </c>
      <c r="J61" t="str">
        <f>VLOOKUP(Table3[[#This Row],[Product]],$L$2:$M$20,2,FALSE)</f>
        <v>Accessories</v>
      </c>
    </row>
    <row r="62" spans="1:10" x14ac:dyDescent="0.35">
      <c r="A62">
        <v>176614</v>
      </c>
      <c r="B62" t="s">
        <v>25</v>
      </c>
      <c r="C62">
        <v>1</v>
      </c>
      <c r="D62" s="2">
        <v>3.84</v>
      </c>
      <c r="E62" s="1">
        <v>43562.875694444447</v>
      </c>
      <c r="F62" t="s">
        <v>77</v>
      </c>
      <c r="G62" s="2">
        <f>(Table3[[#This Row],[Quantity Ordered]]*Table3[[#This Row],[Price Each]])</f>
        <v>3.84</v>
      </c>
      <c r="H62" t="str">
        <f t="shared" si="1"/>
        <v>San Francisco</v>
      </c>
      <c r="I62" t="str">
        <f>TEXT(Table3[[#This Row],[Order Date]],"mmm-yyyy")</f>
        <v>Apr-2019</v>
      </c>
      <c r="J62" t="str">
        <f>VLOOKUP(Table3[[#This Row],[Product]],$L$2:$M$20,2,FALSE)</f>
        <v>Accessories</v>
      </c>
    </row>
    <row r="63" spans="1:10" x14ac:dyDescent="0.35">
      <c r="A63">
        <v>176615</v>
      </c>
      <c r="B63" t="s">
        <v>21</v>
      </c>
      <c r="C63">
        <v>1</v>
      </c>
      <c r="D63" s="2">
        <v>14.95</v>
      </c>
      <c r="E63" s="1">
        <v>43585.440972222219</v>
      </c>
      <c r="F63" t="s">
        <v>78</v>
      </c>
      <c r="G63" s="2">
        <f>(Table3[[#This Row],[Quantity Ordered]]*Table3[[#This Row],[Price Each]])</f>
        <v>14.95</v>
      </c>
      <c r="H63" t="str">
        <f t="shared" si="1"/>
        <v>Dallas</v>
      </c>
      <c r="I63" t="str">
        <f>TEXT(Table3[[#This Row],[Order Date]],"mmm-yyyy")</f>
        <v>Apr-2019</v>
      </c>
      <c r="J63" t="str">
        <f>VLOOKUP(Table3[[#This Row],[Product]],$L$2:$M$20,2,FALSE)</f>
        <v>Accessories</v>
      </c>
    </row>
    <row r="64" spans="1:10" x14ac:dyDescent="0.35">
      <c r="A64">
        <v>176616</v>
      </c>
      <c r="B64" t="s">
        <v>6</v>
      </c>
      <c r="C64">
        <v>1</v>
      </c>
      <c r="D64" s="2">
        <v>11.95</v>
      </c>
      <c r="E64" s="1">
        <v>43560.861111111109</v>
      </c>
      <c r="F64" t="s">
        <v>79</v>
      </c>
      <c r="G64" s="2">
        <f>(Table3[[#This Row],[Quantity Ordered]]*Table3[[#This Row],[Price Each]])</f>
        <v>11.95</v>
      </c>
      <c r="H64" t="str">
        <f t="shared" si="1"/>
        <v>San Francisco</v>
      </c>
      <c r="I64" t="str">
        <f>TEXT(Table3[[#This Row],[Order Date]],"mmm-yyyy")</f>
        <v>Apr-2019</v>
      </c>
      <c r="J64" t="str">
        <f>VLOOKUP(Table3[[#This Row],[Product]],$L$2:$M$20,2,FALSE)</f>
        <v>Accessories</v>
      </c>
    </row>
    <row r="65" spans="1:10" x14ac:dyDescent="0.35">
      <c r="A65">
        <v>176617</v>
      </c>
      <c r="B65" t="s">
        <v>28</v>
      </c>
      <c r="C65">
        <v>1</v>
      </c>
      <c r="D65" s="2">
        <v>150</v>
      </c>
      <c r="E65" s="1">
        <v>43580.335416666669</v>
      </c>
      <c r="F65" t="s">
        <v>80</v>
      </c>
      <c r="G65" s="2">
        <f>(Table3[[#This Row],[Quantity Ordered]]*Table3[[#This Row],[Price Each]])</f>
        <v>150</v>
      </c>
      <c r="H65" t="str">
        <f t="shared" si="1"/>
        <v>Portland</v>
      </c>
      <c r="I65" t="str">
        <f>TEXT(Table3[[#This Row],[Order Date]],"mmm-yyyy")</f>
        <v>Apr-2019</v>
      </c>
      <c r="J65" t="str">
        <f>VLOOKUP(Table3[[#This Row],[Product]],$L$2:$M$20,2,FALSE)</f>
        <v>Accessories</v>
      </c>
    </row>
    <row r="66" spans="1:10" x14ac:dyDescent="0.35">
      <c r="A66">
        <v>176618</v>
      </c>
      <c r="B66" t="s">
        <v>21</v>
      </c>
      <c r="C66">
        <v>2</v>
      </c>
      <c r="D66" s="2">
        <v>14.95</v>
      </c>
      <c r="E66" s="1">
        <v>43573.905555555553</v>
      </c>
      <c r="F66" t="s">
        <v>81</v>
      </c>
      <c r="G66" s="2">
        <f>(Table3[[#This Row],[Quantity Ordered]]*Table3[[#This Row],[Price Each]])</f>
        <v>29.9</v>
      </c>
      <c r="H66" t="str">
        <f t="shared" ref="H66:H98" si="2">TRIM(MID(F66, FIND(",", F66)+1, FIND(",", F66, FIND(",", F66)+1) - FIND(",", F66)-1))</f>
        <v>San Francisco</v>
      </c>
      <c r="I66" t="str">
        <f>TEXT(Table3[[#This Row],[Order Date]],"mmm-yyyy")</f>
        <v>Apr-2019</v>
      </c>
      <c r="J66" t="str">
        <f>VLOOKUP(Table3[[#This Row],[Product]],$L$2:$M$20,2,FALSE)</f>
        <v>Accessories</v>
      </c>
    </row>
    <row r="67" spans="1:10" x14ac:dyDescent="0.35">
      <c r="A67">
        <v>176619</v>
      </c>
      <c r="B67" t="s">
        <v>43</v>
      </c>
      <c r="C67">
        <v>1</v>
      </c>
      <c r="D67" s="2">
        <v>300</v>
      </c>
      <c r="E67" s="1">
        <v>43571.775694444441</v>
      </c>
      <c r="F67" t="s">
        <v>82</v>
      </c>
      <c r="G67" s="2">
        <f>(Table3[[#This Row],[Quantity Ordered]]*Table3[[#This Row],[Price Each]])</f>
        <v>300</v>
      </c>
      <c r="H67" t="str">
        <f t="shared" si="2"/>
        <v>Los Angeles</v>
      </c>
      <c r="I67" t="str">
        <f>TEXT(Table3[[#This Row],[Order Date]],"mmm-yyyy")</f>
        <v>Apr-2019</v>
      </c>
      <c r="J67" t="str">
        <f>VLOOKUP(Table3[[#This Row],[Product]],$L$2:$M$20,2,FALSE)</f>
        <v>Electronics</v>
      </c>
    </row>
    <row r="68" spans="1:10" x14ac:dyDescent="0.35">
      <c r="A68">
        <v>176620</v>
      </c>
      <c r="B68" t="s">
        <v>6</v>
      </c>
      <c r="C68">
        <v>1</v>
      </c>
      <c r="D68" s="2">
        <v>11.95</v>
      </c>
      <c r="E68" s="1">
        <v>43572.443749999999</v>
      </c>
      <c r="F68" t="s">
        <v>83</v>
      </c>
      <c r="G68" s="2">
        <f>(Table3[[#This Row],[Quantity Ordered]]*Table3[[#This Row],[Price Each]])</f>
        <v>11.95</v>
      </c>
      <c r="H68" t="str">
        <f t="shared" si="2"/>
        <v>Los Angeles</v>
      </c>
      <c r="I68" t="str">
        <f>TEXT(Table3[[#This Row],[Order Date]],"mmm-yyyy")</f>
        <v>Apr-2019</v>
      </c>
      <c r="J68" t="str">
        <f>VLOOKUP(Table3[[#This Row],[Product]],$L$2:$M$20,2,FALSE)</f>
        <v>Accessories</v>
      </c>
    </row>
    <row r="69" spans="1:10" x14ac:dyDescent="0.35">
      <c r="A69">
        <v>176621</v>
      </c>
      <c r="B69" t="s">
        <v>21</v>
      </c>
      <c r="C69">
        <v>1</v>
      </c>
      <c r="D69" s="2">
        <v>14.95</v>
      </c>
      <c r="E69" s="1">
        <v>43566.67291666667</v>
      </c>
      <c r="F69" t="s">
        <v>84</v>
      </c>
      <c r="G69" s="2">
        <f>(Table3[[#This Row],[Quantity Ordered]]*Table3[[#This Row],[Price Each]])</f>
        <v>14.95</v>
      </c>
      <c r="H69" t="str">
        <f t="shared" si="2"/>
        <v>Boston</v>
      </c>
      <c r="I69" t="str">
        <f>TEXT(Table3[[#This Row],[Order Date]],"mmm-yyyy")</f>
        <v>Apr-2019</v>
      </c>
      <c r="J69" t="str">
        <f>VLOOKUP(Table3[[#This Row],[Product]],$L$2:$M$20,2,FALSE)</f>
        <v>Accessories</v>
      </c>
    </row>
    <row r="70" spans="1:10" x14ac:dyDescent="0.35">
      <c r="A70">
        <v>176622</v>
      </c>
      <c r="B70" t="s">
        <v>25</v>
      </c>
      <c r="C70">
        <v>1</v>
      </c>
      <c r="D70" s="2">
        <v>3.84</v>
      </c>
      <c r="E70" s="1">
        <v>43566.844444444447</v>
      </c>
      <c r="F70" t="s">
        <v>85</v>
      </c>
      <c r="G70" s="2">
        <f>(Table3[[#This Row],[Quantity Ordered]]*Table3[[#This Row],[Price Each]])</f>
        <v>3.84</v>
      </c>
      <c r="H70" t="str">
        <f t="shared" si="2"/>
        <v>San Francisco</v>
      </c>
      <c r="I70" t="str">
        <f>TEXT(Table3[[#This Row],[Order Date]],"mmm-yyyy")</f>
        <v>Apr-2019</v>
      </c>
      <c r="J70" t="str">
        <f>VLOOKUP(Table3[[#This Row],[Product]],$L$2:$M$20,2,FALSE)</f>
        <v>Accessories</v>
      </c>
    </row>
    <row r="71" spans="1:10" x14ac:dyDescent="0.35">
      <c r="A71">
        <v>176623</v>
      </c>
      <c r="B71" t="s">
        <v>47</v>
      </c>
      <c r="C71">
        <v>1</v>
      </c>
      <c r="D71" s="2">
        <v>149.99</v>
      </c>
      <c r="E71" s="1">
        <v>43575.993750000001</v>
      </c>
      <c r="F71" t="s">
        <v>86</v>
      </c>
      <c r="G71" s="2">
        <f>(Table3[[#This Row],[Quantity Ordered]]*Table3[[#This Row],[Price Each]])</f>
        <v>149.99</v>
      </c>
      <c r="H71" t="str">
        <f t="shared" si="2"/>
        <v>Atlanta</v>
      </c>
      <c r="I71" t="str">
        <f>TEXT(Table3[[#This Row],[Order Date]],"mmm-yyyy")</f>
        <v>Apr-2019</v>
      </c>
      <c r="J71" t="str">
        <f>VLOOKUP(Table3[[#This Row],[Product]],$L$2:$M$20,2,FALSE)</f>
        <v>Monitor</v>
      </c>
    </row>
    <row r="72" spans="1:10" x14ac:dyDescent="0.35">
      <c r="A72">
        <v>176624</v>
      </c>
      <c r="B72" t="s">
        <v>25</v>
      </c>
      <c r="C72">
        <v>1</v>
      </c>
      <c r="D72" s="2">
        <v>3.84</v>
      </c>
      <c r="E72" s="1">
        <v>43583.447222222225</v>
      </c>
      <c r="F72" t="s">
        <v>87</v>
      </c>
      <c r="G72" s="2">
        <f>(Table3[[#This Row],[Quantity Ordered]]*Table3[[#This Row],[Price Each]])</f>
        <v>3.84</v>
      </c>
      <c r="H72" t="str">
        <f t="shared" si="2"/>
        <v>Seattle</v>
      </c>
      <c r="I72" t="str">
        <f>TEXT(Table3[[#This Row],[Order Date]],"mmm-yyyy")</f>
        <v>Apr-2019</v>
      </c>
      <c r="J72" t="str">
        <f>VLOOKUP(Table3[[#This Row],[Product]],$L$2:$M$20,2,FALSE)</f>
        <v>Accessories</v>
      </c>
    </row>
    <row r="73" spans="1:10" x14ac:dyDescent="0.35">
      <c r="A73">
        <v>176625</v>
      </c>
      <c r="B73" t="s">
        <v>32</v>
      </c>
      <c r="C73">
        <v>2</v>
      </c>
      <c r="D73" s="2">
        <v>2.99</v>
      </c>
      <c r="E73" s="1">
        <v>43579.791666666664</v>
      </c>
      <c r="F73" t="s">
        <v>88</v>
      </c>
      <c r="G73" s="2">
        <f>(Table3[[#This Row],[Quantity Ordered]]*Table3[[#This Row],[Price Each]])</f>
        <v>5.98</v>
      </c>
      <c r="H73" t="str">
        <f t="shared" si="2"/>
        <v>San Francisco</v>
      </c>
      <c r="I73" t="str">
        <f>TEXT(Table3[[#This Row],[Order Date]],"mmm-yyyy")</f>
        <v>Apr-2019</v>
      </c>
      <c r="J73" t="str">
        <f>VLOOKUP(Table3[[#This Row],[Product]],$L$2:$M$20,2,FALSE)</f>
        <v>Accessories</v>
      </c>
    </row>
    <row r="74" spans="1:10" x14ac:dyDescent="0.35">
      <c r="A74">
        <v>176626</v>
      </c>
      <c r="B74" t="s">
        <v>8</v>
      </c>
      <c r="C74">
        <v>1</v>
      </c>
      <c r="D74" s="2">
        <v>99.99</v>
      </c>
      <c r="E74" s="1">
        <v>43556.902777777781</v>
      </c>
      <c r="F74" t="s">
        <v>89</v>
      </c>
      <c r="G74" s="2">
        <f>(Table3[[#This Row],[Quantity Ordered]]*Table3[[#This Row],[Price Each]])</f>
        <v>99.99</v>
      </c>
      <c r="H74" t="str">
        <f t="shared" si="2"/>
        <v>Boston</v>
      </c>
      <c r="I74" t="str">
        <f>TEXT(Table3[[#This Row],[Order Date]],"mmm-yyyy")</f>
        <v>Apr-2019</v>
      </c>
      <c r="J74" t="str">
        <f>VLOOKUP(Table3[[#This Row],[Product]],$L$2:$M$20,2,FALSE)</f>
        <v>Accessories</v>
      </c>
    </row>
    <row r="75" spans="1:10" x14ac:dyDescent="0.35">
      <c r="A75">
        <v>176627</v>
      </c>
      <c r="B75" t="s">
        <v>12</v>
      </c>
      <c r="C75">
        <v>1</v>
      </c>
      <c r="D75" s="2">
        <v>11.99</v>
      </c>
      <c r="E75" s="1">
        <v>43576.622916666667</v>
      </c>
      <c r="F75" t="s">
        <v>90</v>
      </c>
      <c r="G75" s="2">
        <f>(Table3[[#This Row],[Quantity Ordered]]*Table3[[#This Row],[Price Each]])</f>
        <v>11.99</v>
      </c>
      <c r="H75" t="str">
        <f t="shared" si="2"/>
        <v>Atlanta</v>
      </c>
      <c r="I75" t="str">
        <f>TEXT(Table3[[#This Row],[Order Date]],"mmm-yyyy")</f>
        <v>Apr-2019</v>
      </c>
      <c r="J75" t="str">
        <f>VLOOKUP(Table3[[#This Row],[Product]],$L$2:$M$20,2,FALSE)</f>
        <v>Accessories</v>
      </c>
    </row>
    <row r="76" spans="1:10" x14ac:dyDescent="0.35">
      <c r="A76">
        <v>176628</v>
      </c>
      <c r="B76" t="s">
        <v>21</v>
      </c>
      <c r="C76">
        <v>2</v>
      </c>
      <c r="D76" s="2">
        <v>14.95</v>
      </c>
      <c r="E76" s="1">
        <v>43570.168749999997</v>
      </c>
      <c r="F76" t="s">
        <v>91</v>
      </c>
      <c r="G76" s="2">
        <f>(Table3[[#This Row],[Quantity Ordered]]*Table3[[#This Row],[Price Each]])</f>
        <v>29.9</v>
      </c>
      <c r="H76" t="str">
        <f t="shared" si="2"/>
        <v>Dallas</v>
      </c>
      <c r="I76" t="str">
        <f>TEXT(Table3[[#This Row],[Order Date]],"mmm-yyyy")</f>
        <v>Apr-2019</v>
      </c>
      <c r="J76" t="str">
        <f>VLOOKUP(Table3[[#This Row],[Product]],$L$2:$M$20,2,FALSE)</f>
        <v>Accessories</v>
      </c>
    </row>
    <row r="77" spans="1:10" x14ac:dyDescent="0.35">
      <c r="A77">
        <v>176629</v>
      </c>
      <c r="B77" t="s">
        <v>6</v>
      </c>
      <c r="C77">
        <v>1</v>
      </c>
      <c r="D77" s="2">
        <v>11.95</v>
      </c>
      <c r="E77" s="1">
        <v>43579.49722222222</v>
      </c>
      <c r="F77" t="s">
        <v>92</v>
      </c>
      <c r="G77" s="2">
        <f>(Table3[[#This Row],[Quantity Ordered]]*Table3[[#This Row],[Price Each]])</f>
        <v>11.95</v>
      </c>
      <c r="H77" t="str">
        <f t="shared" si="2"/>
        <v>San Francisco</v>
      </c>
      <c r="I77" t="str">
        <f>TEXT(Table3[[#This Row],[Order Date]],"mmm-yyyy")</f>
        <v>Apr-2019</v>
      </c>
      <c r="J77" t="str">
        <f>VLOOKUP(Table3[[#This Row],[Product]],$L$2:$M$20,2,FALSE)</f>
        <v>Accessories</v>
      </c>
    </row>
    <row r="78" spans="1:10" x14ac:dyDescent="0.35">
      <c r="A78">
        <v>176630</v>
      </c>
      <c r="B78" t="s">
        <v>10</v>
      </c>
      <c r="C78">
        <v>1</v>
      </c>
      <c r="D78" s="2">
        <v>600</v>
      </c>
      <c r="E78" s="1">
        <v>43565.209027777775</v>
      </c>
      <c r="F78" t="s">
        <v>93</v>
      </c>
      <c r="G78" s="2">
        <f>(Table3[[#This Row],[Quantity Ordered]]*Table3[[#This Row],[Price Each]])</f>
        <v>600</v>
      </c>
      <c r="H78" t="str">
        <f t="shared" si="2"/>
        <v>San Francisco</v>
      </c>
      <c r="I78" t="str">
        <f>TEXT(Table3[[#This Row],[Order Date]],"mmm-yyyy")</f>
        <v>Apr-2019</v>
      </c>
      <c r="J78" t="str">
        <f>VLOOKUP(Table3[[#This Row],[Product]],$L$2:$M$20,2,FALSE)</f>
        <v>Mobile</v>
      </c>
    </row>
    <row r="79" spans="1:10" x14ac:dyDescent="0.35">
      <c r="A79">
        <v>176631</v>
      </c>
      <c r="B79" t="s">
        <v>6</v>
      </c>
      <c r="C79">
        <v>1</v>
      </c>
      <c r="D79" s="2">
        <v>11.95</v>
      </c>
      <c r="E79" s="1">
        <v>43568.783333333333</v>
      </c>
      <c r="F79" t="s">
        <v>94</v>
      </c>
      <c r="G79" s="2">
        <f>(Table3[[#This Row],[Quantity Ordered]]*Table3[[#This Row],[Price Each]])</f>
        <v>11.95</v>
      </c>
      <c r="H79" t="str">
        <f t="shared" si="2"/>
        <v>San Francisco</v>
      </c>
      <c r="I79" t="str">
        <f>TEXT(Table3[[#This Row],[Order Date]],"mmm-yyyy")</f>
        <v>Apr-2019</v>
      </c>
      <c r="J79" t="str">
        <f>VLOOKUP(Table3[[#This Row],[Product]],$L$2:$M$20,2,FALSE)</f>
        <v>Accessories</v>
      </c>
    </row>
    <row r="80" spans="1:10" x14ac:dyDescent="0.35">
      <c r="A80">
        <v>176632</v>
      </c>
      <c r="B80" t="s">
        <v>32</v>
      </c>
      <c r="C80">
        <v>1</v>
      </c>
      <c r="D80" s="2">
        <v>2.99</v>
      </c>
      <c r="E80" s="1">
        <v>43569.602777777778</v>
      </c>
      <c r="F80" t="s">
        <v>95</v>
      </c>
      <c r="G80" s="2">
        <f>(Table3[[#This Row],[Quantity Ordered]]*Table3[[#This Row],[Price Each]])</f>
        <v>2.99</v>
      </c>
      <c r="H80" t="str">
        <f t="shared" si="2"/>
        <v>San Francisco</v>
      </c>
      <c r="I80" t="str">
        <f>TEXT(Table3[[#This Row],[Order Date]],"mmm-yyyy")</f>
        <v>Apr-2019</v>
      </c>
      <c r="J80" t="str">
        <f>VLOOKUP(Table3[[#This Row],[Product]],$L$2:$M$20,2,FALSE)</f>
        <v>Accessories</v>
      </c>
    </row>
    <row r="81" spans="1:10" x14ac:dyDescent="0.35">
      <c r="A81">
        <v>176633</v>
      </c>
      <c r="B81" t="s">
        <v>96</v>
      </c>
      <c r="C81">
        <v>1</v>
      </c>
      <c r="D81" s="2">
        <v>999.99</v>
      </c>
      <c r="E81" s="1">
        <v>43578.585416666669</v>
      </c>
      <c r="F81" t="s">
        <v>97</v>
      </c>
      <c r="G81" s="2">
        <f>(Table3[[#This Row],[Quantity Ordered]]*Table3[[#This Row],[Price Each]])</f>
        <v>999.99</v>
      </c>
      <c r="H81" t="str">
        <f t="shared" si="2"/>
        <v>Los Angeles</v>
      </c>
      <c r="I81" t="str">
        <f>TEXT(Table3[[#This Row],[Order Date]],"mmm-yyyy")</f>
        <v>Apr-2019</v>
      </c>
      <c r="J81" t="str">
        <f>VLOOKUP(Table3[[#This Row],[Product]],$L$2:$M$20,2,FALSE)</f>
        <v>Laptop</v>
      </c>
    </row>
    <row r="82" spans="1:10" x14ac:dyDescent="0.35">
      <c r="A82">
        <v>176634</v>
      </c>
      <c r="B82" t="s">
        <v>21</v>
      </c>
      <c r="C82">
        <v>1</v>
      </c>
      <c r="D82" s="2">
        <v>14.95</v>
      </c>
      <c r="E82" s="1">
        <v>43565.333333333336</v>
      </c>
      <c r="F82" t="s">
        <v>98</v>
      </c>
      <c r="G82" s="2">
        <f>(Table3[[#This Row],[Quantity Ordered]]*Table3[[#This Row],[Price Each]])</f>
        <v>14.95</v>
      </c>
      <c r="H82" t="str">
        <f t="shared" si="2"/>
        <v>Atlanta</v>
      </c>
      <c r="I82" t="str">
        <f>TEXT(Table3[[#This Row],[Order Date]],"mmm-yyyy")</f>
        <v>Apr-2019</v>
      </c>
      <c r="J82" t="str">
        <f>VLOOKUP(Table3[[#This Row],[Product]],$L$2:$M$20,2,FALSE)</f>
        <v>Accessories</v>
      </c>
    </row>
    <row r="83" spans="1:10" x14ac:dyDescent="0.35">
      <c r="A83">
        <v>176635</v>
      </c>
      <c r="B83" t="s">
        <v>99</v>
      </c>
      <c r="C83">
        <v>1</v>
      </c>
      <c r="D83" s="2">
        <v>400</v>
      </c>
      <c r="E83" s="1">
        <v>43581.413194444445</v>
      </c>
      <c r="F83" t="s">
        <v>100</v>
      </c>
      <c r="G83" s="2">
        <f>(Table3[[#This Row],[Quantity Ordered]]*Table3[[#This Row],[Price Each]])</f>
        <v>400</v>
      </c>
      <c r="H83" t="str">
        <f t="shared" si="2"/>
        <v>San Francisco</v>
      </c>
      <c r="I83" t="str">
        <f>TEXT(Table3[[#This Row],[Order Date]],"mmm-yyyy")</f>
        <v>Apr-2019</v>
      </c>
      <c r="J83" t="str">
        <f>VLOOKUP(Table3[[#This Row],[Product]],$L$2:$M$20,2,FALSE)</f>
        <v>Mobile</v>
      </c>
    </row>
    <row r="84" spans="1:10" x14ac:dyDescent="0.35">
      <c r="A84">
        <v>176636</v>
      </c>
      <c r="B84" t="s">
        <v>25</v>
      </c>
      <c r="C84">
        <v>1</v>
      </c>
      <c r="D84" s="2">
        <v>3.84</v>
      </c>
      <c r="E84" s="1">
        <v>43585.859027777777</v>
      </c>
      <c r="F84" t="s">
        <v>101</v>
      </c>
      <c r="G84" s="2">
        <f>(Table3[[#This Row],[Quantity Ordered]]*Table3[[#This Row],[Price Each]])</f>
        <v>3.84</v>
      </c>
      <c r="H84" t="str">
        <f t="shared" si="2"/>
        <v>Boston</v>
      </c>
      <c r="I84" t="str">
        <f>TEXT(Table3[[#This Row],[Order Date]],"mmm-yyyy")</f>
        <v>Apr-2019</v>
      </c>
      <c r="J84" t="str">
        <f>VLOOKUP(Table3[[#This Row],[Product]],$L$2:$M$20,2,FALSE)</f>
        <v>Accessories</v>
      </c>
    </row>
    <row r="85" spans="1:10" x14ac:dyDescent="0.35">
      <c r="A85">
        <v>176637</v>
      </c>
      <c r="B85" t="s">
        <v>32</v>
      </c>
      <c r="C85">
        <v>1</v>
      </c>
      <c r="D85" s="2">
        <v>2.99</v>
      </c>
      <c r="E85" s="1">
        <v>43572.418749999997</v>
      </c>
      <c r="F85" t="s">
        <v>102</v>
      </c>
      <c r="G85" s="2">
        <f>(Table3[[#This Row],[Quantity Ordered]]*Table3[[#This Row],[Price Each]])</f>
        <v>2.99</v>
      </c>
      <c r="H85" t="str">
        <f t="shared" si="2"/>
        <v>New York City</v>
      </c>
      <c r="I85" t="str">
        <f>TEXT(Table3[[#This Row],[Order Date]],"mmm-yyyy")</f>
        <v>Apr-2019</v>
      </c>
      <c r="J85" t="str">
        <f>VLOOKUP(Table3[[#This Row],[Product]],$L$2:$M$20,2,FALSE)</f>
        <v>Accessories</v>
      </c>
    </row>
    <row r="86" spans="1:10" x14ac:dyDescent="0.35">
      <c r="A86">
        <v>176638</v>
      </c>
      <c r="B86" t="s">
        <v>6</v>
      </c>
      <c r="C86">
        <v>1</v>
      </c>
      <c r="D86" s="2">
        <v>11.95</v>
      </c>
      <c r="E86" s="1">
        <v>43575.356249999997</v>
      </c>
      <c r="F86" t="s">
        <v>103</v>
      </c>
      <c r="G86" s="2">
        <f>(Table3[[#This Row],[Quantity Ordered]]*Table3[[#This Row],[Price Each]])</f>
        <v>11.95</v>
      </c>
      <c r="H86" t="str">
        <f t="shared" si="2"/>
        <v>Boston</v>
      </c>
      <c r="I86" t="str">
        <f>TEXT(Table3[[#This Row],[Order Date]],"mmm-yyyy")</f>
        <v>Apr-2019</v>
      </c>
      <c r="J86" t="str">
        <f>VLOOKUP(Table3[[#This Row],[Product]],$L$2:$M$20,2,FALSE)</f>
        <v>Accessories</v>
      </c>
    </row>
    <row r="87" spans="1:10" x14ac:dyDescent="0.35">
      <c r="A87">
        <v>176639</v>
      </c>
      <c r="B87" t="s">
        <v>17</v>
      </c>
      <c r="C87">
        <v>1</v>
      </c>
      <c r="D87" s="2">
        <v>1700</v>
      </c>
      <c r="E87" s="1">
        <v>43583.676388888889</v>
      </c>
      <c r="F87" t="s">
        <v>104</v>
      </c>
      <c r="G87" s="2">
        <f>(Table3[[#This Row],[Quantity Ordered]]*Table3[[#This Row],[Price Each]])</f>
        <v>1700</v>
      </c>
      <c r="H87" t="str">
        <f t="shared" si="2"/>
        <v>San Francisco</v>
      </c>
      <c r="I87" t="str">
        <f>TEXT(Table3[[#This Row],[Order Date]],"mmm-yyyy")</f>
        <v>Apr-2019</v>
      </c>
      <c r="J87" t="str">
        <f>VLOOKUP(Table3[[#This Row],[Product]],$L$2:$M$20,2,FALSE)</f>
        <v>Laptop</v>
      </c>
    </row>
    <row r="88" spans="1:10" x14ac:dyDescent="0.35">
      <c r="A88">
        <v>176640</v>
      </c>
      <c r="B88" t="s">
        <v>12</v>
      </c>
      <c r="C88">
        <v>2</v>
      </c>
      <c r="D88" s="2">
        <v>11.99</v>
      </c>
      <c r="E88" s="1">
        <v>43582.95416666667</v>
      </c>
      <c r="F88" t="s">
        <v>105</v>
      </c>
      <c r="G88" s="2">
        <f>(Table3[[#This Row],[Quantity Ordered]]*Table3[[#This Row],[Price Each]])</f>
        <v>23.98</v>
      </c>
      <c r="H88" t="str">
        <f t="shared" si="2"/>
        <v>San Francisco</v>
      </c>
      <c r="I88" t="str">
        <f>TEXT(Table3[[#This Row],[Order Date]],"mmm-yyyy")</f>
        <v>Apr-2019</v>
      </c>
      <c r="J88" t="str">
        <f>VLOOKUP(Table3[[#This Row],[Product]],$L$2:$M$20,2,FALSE)</f>
        <v>Accessories</v>
      </c>
    </row>
    <row r="89" spans="1:10" x14ac:dyDescent="0.35">
      <c r="A89">
        <v>176641</v>
      </c>
      <c r="B89" t="s">
        <v>21</v>
      </c>
      <c r="C89">
        <v>1</v>
      </c>
      <c r="D89" s="2">
        <v>14.95</v>
      </c>
      <c r="E89" s="1">
        <v>43580.9</v>
      </c>
      <c r="F89" t="s">
        <v>106</v>
      </c>
      <c r="G89" s="2">
        <f>(Table3[[#This Row],[Quantity Ordered]]*Table3[[#This Row],[Price Each]])</f>
        <v>14.95</v>
      </c>
      <c r="H89" t="str">
        <f t="shared" si="2"/>
        <v>Boston</v>
      </c>
      <c r="I89" t="str">
        <f>TEXT(Table3[[#This Row],[Order Date]],"mmm-yyyy")</f>
        <v>Apr-2019</v>
      </c>
      <c r="J89" t="str">
        <f>VLOOKUP(Table3[[#This Row],[Product]],$L$2:$M$20,2,FALSE)</f>
        <v>Accessories</v>
      </c>
    </row>
    <row r="90" spans="1:10" x14ac:dyDescent="0.35">
      <c r="A90">
        <v>176642</v>
      </c>
      <c r="B90" t="s">
        <v>25</v>
      </c>
      <c r="C90">
        <v>1</v>
      </c>
      <c r="D90" s="2">
        <v>3.84</v>
      </c>
      <c r="E90" s="1">
        <v>43572.776388888888</v>
      </c>
      <c r="F90" t="s">
        <v>107</v>
      </c>
      <c r="G90" s="2">
        <f>(Table3[[#This Row],[Quantity Ordered]]*Table3[[#This Row],[Price Each]])</f>
        <v>3.84</v>
      </c>
      <c r="H90" t="str">
        <f t="shared" si="2"/>
        <v>Portland</v>
      </c>
      <c r="I90" t="str">
        <f>TEXT(Table3[[#This Row],[Order Date]],"mmm-yyyy")</f>
        <v>Apr-2019</v>
      </c>
      <c r="J90" t="str">
        <f>VLOOKUP(Table3[[#This Row],[Product]],$L$2:$M$20,2,FALSE)</f>
        <v>Accessories</v>
      </c>
    </row>
    <row r="91" spans="1:10" x14ac:dyDescent="0.35">
      <c r="A91">
        <v>176643</v>
      </c>
      <c r="B91" t="s">
        <v>17</v>
      </c>
      <c r="C91">
        <v>1</v>
      </c>
      <c r="D91" s="2">
        <v>1700</v>
      </c>
      <c r="E91" s="1">
        <v>43582.897222222222</v>
      </c>
      <c r="F91" t="s">
        <v>108</v>
      </c>
      <c r="G91" s="2">
        <f>(Table3[[#This Row],[Quantity Ordered]]*Table3[[#This Row],[Price Each]])</f>
        <v>1700</v>
      </c>
      <c r="H91" t="str">
        <f t="shared" si="2"/>
        <v>Boston</v>
      </c>
      <c r="I91" t="str">
        <f>TEXT(Table3[[#This Row],[Order Date]],"mmm-yyyy")</f>
        <v>Apr-2019</v>
      </c>
      <c r="J91" t="str">
        <f>VLOOKUP(Table3[[#This Row],[Product]],$L$2:$M$20,2,FALSE)</f>
        <v>Laptop</v>
      </c>
    </row>
    <row r="92" spans="1:10" x14ac:dyDescent="0.35">
      <c r="A92">
        <v>176644</v>
      </c>
      <c r="B92" t="s">
        <v>6</v>
      </c>
      <c r="C92">
        <v>1</v>
      </c>
      <c r="D92" s="2">
        <v>11.95</v>
      </c>
      <c r="E92" s="1">
        <v>43578.089583333334</v>
      </c>
      <c r="F92" t="s">
        <v>109</v>
      </c>
      <c r="G92" s="2">
        <f>(Table3[[#This Row],[Quantity Ordered]]*Table3[[#This Row],[Price Each]])</f>
        <v>11.95</v>
      </c>
      <c r="H92" t="str">
        <f t="shared" si="2"/>
        <v>Los Angeles</v>
      </c>
      <c r="I92" t="str">
        <f>TEXT(Table3[[#This Row],[Order Date]],"mmm-yyyy")</f>
        <v>Apr-2019</v>
      </c>
      <c r="J92" t="str">
        <f>VLOOKUP(Table3[[#This Row],[Product]],$L$2:$M$20,2,FALSE)</f>
        <v>Accessories</v>
      </c>
    </row>
    <row r="93" spans="1:10" x14ac:dyDescent="0.35">
      <c r="A93">
        <v>176645</v>
      </c>
      <c r="B93" t="s">
        <v>32</v>
      </c>
      <c r="C93">
        <v>3</v>
      </c>
      <c r="D93" s="2">
        <v>2.99</v>
      </c>
      <c r="E93" s="1">
        <v>43581.776388888888</v>
      </c>
      <c r="F93" t="s">
        <v>110</v>
      </c>
      <c r="G93" s="2">
        <f>(Table3[[#This Row],[Quantity Ordered]]*Table3[[#This Row],[Price Each]])</f>
        <v>8.9700000000000006</v>
      </c>
      <c r="H93" t="str">
        <f t="shared" si="2"/>
        <v>Dallas</v>
      </c>
      <c r="I93" t="str">
        <f>TEXT(Table3[[#This Row],[Order Date]],"mmm-yyyy")</f>
        <v>Apr-2019</v>
      </c>
      <c r="J93" t="str">
        <f>VLOOKUP(Table3[[#This Row],[Product]],$L$2:$M$20,2,FALSE)</f>
        <v>Accessories</v>
      </c>
    </row>
    <row r="94" spans="1:10" x14ac:dyDescent="0.35">
      <c r="A94">
        <v>176646</v>
      </c>
      <c r="B94" t="s">
        <v>17</v>
      </c>
      <c r="C94">
        <v>1</v>
      </c>
      <c r="D94" s="2">
        <v>1700</v>
      </c>
      <c r="E94" s="1">
        <v>43577.301388888889</v>
      </c>
      <c r="F94" t="s">
        <v>111</v>
      </c>
      <c r="G94" s="2">
        <f>(Table3[[#This Row],[Quantity Ordered]]*Table3[[#This Row],[Price Each]])</f>
        <v>1700</v>
      </c>
      <c r="H94" t="str">
        <f t="shared" si="2"/>
        <v>Portland</v>
      </c>
      <c r="I94" t="str">
        <f>TEXT(Table3[[#This Row],[Order Date]],"mmm-yyyy")</f>
        <v>Apr-2019</v>
      </c>
      <c r="J94" t="str">
        <f>VLOOKUP(Table3[[#This Row],[Product]],$L$2:$M$20,2,FALSE)</f>
        <v>Laptop</v>
      </c>
    </row>
    <row r="95" spans="1:10" x14ac:dyDescent="0.35">
      <c r="A95">
        <v>176647</v>
      </c>
      <c r="B95" t="s">
        <v>10</v>
      </c>
      <c r="C95">
        <v>1</v>
      </c>
      <c r="D95" s="2">
        <v>600</v>
      </c>
      <c r="E95" s="1">
        <v>43576.819444444445</v>
      </c>
      <c r="F95" t="s">
        <v>112</v>
      </c>
      <c r="G95" s="2">
        <f>(Table3[[#This Row],[Quantity Ordered]]*Table3[[#This Row],[Price Each]])</f>
        <v>600</v>
      </c>
      <c r="H95" t="str">
        <f t="shared" si="2"/>
        <v>Los Angeles</v>
      </c>
      <c r="I95" t="str">
        <f>TEXT(Table3[[#This Row],[Order Date]],"mmm-yyyy")</f>
        <v>Apr-2019</v>
      </c>
      <c r="J95" t="str">
        <f>VLOOKUP(Table3[[#This Row],[Product]],$L$2:$M$20,2,FALSE)</f>
        <v>Mobile</v>
      </c>
    </row>
    <row r="96" spans="1:10" x14ac:dyDescent="0.35">
      <c r="A96">
        <v>176648</v>
      </c>
      <c r="B96" t="s">
        <v>47</v>
      </c>
      <c r="C96">
        <v>1</v>
      </c>
      <c r="D96" s="2">
        <v>149.99</v>
      </c>
      <c r="E96" s="1">
        <v>43579.053472222222</v>
      </c>
      <c r="F96" t="s">
        <v>113</v>
      </c>
      <c r="G96" s="2">
        <f>(Table3[[#This Row],[Quantity Ordered]]*Table3[[#This Row],[Price Each]])</f>
        <v>149.99</v>
      </c>
      <c r="H96" t="str">
        <f t="shared" si="2"/>
        <v>Portland</v>
      </c>
      <c r="I96" t="str">
        <f>TEXT(Table3[[#This Row],[Order Date]],"mmm-yyyy")</f>
        <v>Apr-2019</v>
      </c>
      <c r="J96" t="str">
        <f>VLOOKUP(Table3[[#This Row],[Product]],$L$2:$M$20,2,FALSE)</f>
        <v>Monitor</v>
      </c>
    </row>
    <row r="97" spans="1:10" x14ac:dyDescent="0.35">
      <c r="A97">
        <v>176649</v>
      </c>
      <c r="B97" t="s">
        <v>6</v>
      </c>
      <c r="C97">
        <v>1</v>
      </c>
      <c r="D97" s="2">
        <v>11.95</v>
      </c>
      <c r="E97" s="1">
        <v>43564.367361111108</v>
      </c>
      <c r="F97" t="s">
        <v>114</v>
      </c>
      <c r="G97" s="2">
        <f>(Table3[[#This Row],[Quantity Ordered]]*Table3[[#This Row],[Price Each]])</f>
        <v>11.95</v>
      </c>
      <c r="H97" t="str">
        <f t="shared" si="2"/>
        <v>San Francisco</v>
      </c>
      <c r="I97" t="str">
        <f>TEXT(Table3[[#This Row],[Order Date]],"mmm-yyyy")</f>
        <v>Apr-2019</v>
      </c>
      <c r="J97" t="str">
        <f>VLOOKUP(Table3[[#This Row],[Product]],$L$2:$M$20,2,FALSE)</f>
        <v>Accessories</v>
      </c>
    </row>
    <row r="98" spans="1:10" x14ac:dyDescent="0.35">
      <c r="A98">
        <v>176650</v>
      </c>
      <c r="B98" t="s">
        <v>21</v>
      </c>
      <c r="C98">
        <v>1</v>
      </c>
      <c r="D98" s="2">
        <v>14.95</v>
      </c>
      <c r="E98" s="1">
        <v>43567.699305555558</v>
      </c>
      <c r="F98" t="s">
        <v>115</v>
      </c>
      <c r="G98" s="2">
        <f>(Table3[[#This Row],[Quantity Ordered]]*Table3[[#This Row],[Price Each]])</f>
        <v>14.95</v>
      </c>
      <c r="H98" t="str">
        <f t="shared" si="2"/>
        <v>Boston</v>
      </c>
      <c r="I98" t="str">
        <f>TEXT(Table3[[#This Row],[Order Date]],"mmm-yyyy")</f>
        <v>Apr-2019</v>
      </c>
      <c r="J98" t="str">
        <f>VLOOKUP(Table3[[#This Row],[Product]],$L$2:$M$20,2,FALSE)</f>
        <v>Accessories</v>
      </c>
    </row>
    <row r="107" spans="1:10" x14ac:dyDescent="0.35">
      <c r="E107" t="s">
        <v>1</v>
      </c>
      <c r="F107" t="s">
        <v>160</v>
      </c>
    </row>
    <row r="108" spans="1:10" x14ac:dyDescent="0.35">
      <c r="E108" t="s">
        <v>17</v>
      </c>
      <c r="F108" t="s">
        <v>162</v>
      </c>
    </row>
    <row r="109" spans="1:10" x14ac:dyDescent="0.35">
      <c r="E109" t="s">
        <v>96</v>
      </c>
      <c r="F109" t="s">
        <v>162</v>
      </c>
    </row>
    <row r="110" spans="1:10" x14ac:dyDescent="0.35">
      <c r="E110" t="s">
        <v>39</v>
      </c>
      <c r="F110" t="s">
        <v>168</v>
      </c>
    </row>
    <row r="111" spans="1:10" x14ac:dyDescent="0.35">
      <c r="E111" t="s">
        <v>10</v>
      </c>
      <c r="F111" t="s">
        <v>169</v>
      </c>
    </row>
    <row r="112" spans="1:10" x14ac:dyDescent="0.35">
      <c r="E112" t="s">
        <v>28</v>
      </c>
      <c r="F112" t="s">
        <v>161</v>
      </c>
    </row>
    <row r="113" spans="5:6" x14ac:dyDescent="0.35">
      <c r="E113" t="s">
        <v>21</v>
      </c>
      <c r="F113" t="s">
        <v>161</v>
      </c>
    </row>
    <row r="114" spans="5:6" x14ac:dyDescent="0.35">
      <c r="E114" t="s">
        <v>6</v>
      </c>
      <c r="F114" t="s">
        <v>161</v>
      </c>
    </row>
    <row r="115" spans="5:6" x14ac:dyDescent="0.35">
      <c r="E115" t="s">
        <v>166</v>
      </c>
      <c r="F115" t="s">
        <v>161</v>
      </c>
    </row>
    <row r="116" spans="5:6" x14ac:dyDescent="0.35">
      <c r="E116" t="s">
        <v>23</v>
      </c>
      <c r="F116" t="s">
        <v>165</v>
      </c>
    </row>
    <row r="117" spans="5:6" x14ac:dyDescent="0.35">
      <c r="E117" t="s">
        <v>164</v>
      </c>
      <c r="F117" t="s">
        <v>163</v>
      </c>
    </row>
    <row r="118" spans="5:6" x14ac:dyDescent="0.35">
      <c r="E118" t="s">
        <v>49</v>
      </c>
      <c r="F118" t="s">
        <v>165</v>
      </c>
    </row>
    <row r="119" spans="5:6" x14ac:dyDescent="0.35">
      <c r="E119" t="s">
        <v>167</v>
      </c>
      <c r="F119" t="s">
        <v>161</v>
      </c>
    </row>
    <row r="1048548" customFormat="1" x14ac:dyDescent="0.35"/>
    <row r="1048549" customFormat="1" x14ac:dyDescent="0.35"/>
    <row r="1048550" customFormat="1" x14ac:dyDescent="0.35"/>
    <row r="1048551" customFormat="1" x14ac:dyDescent="0.35"/>
    <row r="1048552" customFormat="1" x14ac:dyDescent="0.35"/>
    <row r="1048553" customFormat="1" x14ac:dyDescent="0.35"/>
    <row r="1048554" customFormat="1" x14ac:dyDescent="0.35"/>
    <row r="1048555" customFormat="1" x14ac:dyDescent="0.35"/>
    <row r="1048556" customFormat="1" x14ac:dyDescent="0.35"/>
    <row r="1048557" customFormat="1" x14ac:dyDescent="0.35"/>
    <row r="1048558" customFormat="1" x14ac:dyDescent="0.35"/>
    <row r="1048559" customFormat="1" x14ac:dyDescent="0.35"/>
    <row r="1048560" customFormat="1" x14ac:dyDescent="0.35"/>
    <row r="1048561" customFormat="1" x14ac:dyDescent="0.35"/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629C3-C855-4A0E-910F-CD5012E7DCA2}">
  <dimension ref="B6:C24"/>
  <sheetViews>
    <sheetView tabSelected="1" topLeftCell="A5" workbookViewId="0">
      <selection activeCell="E9" sqref="E9"/>
    </sheetView>
  </sheetViews>
  <sheetFormatPr defaultRowHeight="14.5" x14ac:dyDescent="0.35"/>
  <cols>
    <col min="1" max="1" width="25.36328125" bestFit="1" customWidth="1"/>
    <col min="2" max="2" width="28.36328125" customWidth="1"/>
    <col min="3" max="3" width="19.54296875" customWidth="1"/>
  </cols>
  <sheetData>
    <row r="6" spans="2:3" x14ac:dyDescent="0.35">
      <c r="B6" s="3" t="s">
        <v>117</v>
      </c>
      <c r="C6" t="s">
        <v>119</v>
      </c>
    </row>
    <row r="7" spans="2:3" x14ac:dyDescent="0.35">
      <c r="B7" s="4" t="s">
        <v>17</v>
      </c>
      <c r="C7" s="2">
        <v>6800</v>
      </c>
    </row>
    <row r="8" spans="2:3" x14ac:dyDescent="0.35">
      <c r="B8" s="4" t="s">
        <v>10</v>
      </c>
      <c r="C8" s="2">
        <v>4200</v>
      </c>
    </row>
    <row r="9" spans="2:3" x14ac:dyDescent="0.35">
      <c r="B9" s="4" t="s">
        <v>39</v>
      </c>
      <c r="C9" s="2">
        <v>1400</v>
      </c>
    </row>
    <row r="10" spans="2:3" x14ac:dyDescent="0.35">
      <c r="B10" s="4" t="s">
        <v>28</v>
      </c>
      <c r="C10" s="2">
        <v>1350</v>
      </c>
    </row>
    <row r="11" spans="2:3" x14ac:dyDescent="0.35">
      <c r="B11" s="4" t="s">
        <v>96</v>
      </c>
      <c r="C11" s="2">
        <v>999.99</v>
      </c>
    </row>
    <row r="12" spans="2:3" x14ac:dyDescent="0.35">
      <c r="B12" s="4" t="s">
        <v>23</v>
      </c>
      <c r="C12" s="2">
        <v>779.98</v>
      </c>
    </row>
    <row r="13" spans="2:3" x14ac:dyDescent="0.35">
      <c r="B13" s="4" t="s">
        <v>8</v>
      </c>
      <c r="C13" s="2">
        <v>699.93</v>
      </c>
    </row>
    <row r="14" spans="2:3" x14ac:dyDescent="0.35">
      <c r="B14" s="4" t="s">
        <v>43</v>
      </c>
      <c r="C14" s="2">
        <v>600</v>
      </c>
    </row>
    <row r="15" spans="2:3" x14ac:dyDescent="0.35">
      <c r="B15" s="4" t="s">
        <v>68</v>
      </c>
      <c r="C15" s="2">
        <v>600</v>
      </c>
    </row>
    <row r="16" spans="2:3" x14ac:dyDescent="0.35">
      <c r="B16" s="4" t="s">
        <v>47</v>
      </c>
      <c r="C16" s="2">
        <v>449.97</v>
      </c>
    </row>
    <row r="17" spans="2:3" x14ac:dyDescent="0.35">
      <c r="B17" s="4" t="s">
        <v>99</v>
      </c>
      <c r="C17" s="2">
        <v>400</v>
      </c>
    </row>
    <row r="18" spans="2:3" x14ac:dyDescent="0.35">
      <c r="B18" s="4" t="s">
        <v>6</v>
      </c>
      <c r="C18" s="2">
        <v>262.89999999999992</v>
      </c>
    </row>
    <row r="19" spans="2:3" x14ac:dyDescent="0.35">
      <c r="B19" s="4" t="s">
        <v>21</v>
      </c>
      <c r="C19" s="2">
        <v>239.19999999999996</v>
      </c>
    </row>
    <row r="20" spans="2:3" x14ac:dyDescent="0.35">
      <c r="B20" s="4" t="s">
        <v>12</v>
      </c>
      <c r="C20" s="2">
        <v>119.9</v>
      </c>
    </row>
    <row r="21" spans="2:3" x14ac:dyDescent="0.35">
      <c r="B21" s="4" t="s">
        <v>49</v>
      </c>
      <c r="C21" s="2">
        <v>109.99</v>
      </c>
    </row>
    <row r="22" spans="2:3" x14ac:dyDescent="0.35">
      <c r="B22" s="4" t="s">
        <v>32</v>
      </c>
      <c r="C22" s="2">
        <v>50.83</v>
      </c>
    </row>
    <row r="23" spans="2:3" x14ac:dyDescent="0.35">
      <c r="B23" s="4" t="s">
        <v>25</v>
      </c>
      <c r="C23" s="2">
        <v>26.88</v>
      </c>
    </row>
    <row r="24" spans="2:3" x14ac:dyDescent="0.35">
      <c r="B24" s="4" t="s">
        <v>118</v>
      </c>
      <c r="C24" s="2">
        <v>19089.570000000003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95BFB-7485-4291-8156-35109D9BC36D}">
  <dimension ref="B12:I15"/>
  <sheetViews>
    <sheetView workbookViewId="0">
      <selection activeCell="E6" sqref="E6"/>
    </sheetView>
  </sheetViews>
  <sheetFormatPr defaultRowHeight="14.5" x14ac:dyDescent="0.35"/>
  <cols>
    <col min="1" max="1" width="18.1796875" bestFit="1" customWidth="1"/>
    <col min="2" max="2" width="15.6328125" bestFit="1" customWidth="1"/>
    <col min="3" max="4" width="10.1796875" bestFit="1" customWidth="1"/>
    <col min="5" max="5" width="7.81640625" bestFit="1" customWidth="1"/>
    <col min="6" max="6" width="6.453125" bestFit="1" customWidth="1"/>
    <col min="7" max="7" width="7.81640625" bestFit="1" customWidth="1"/>
    <col min="8" max="9" width="10.36328125" bestFit="1" customWidth="1"/>
    <col min="10" max="10" width="18.1796875" bestFit="1" customWidth="1"/>
    <col min="11" max="11" width="19.1796875" bestFit="1" customWidth="1"/>
    <col min="12" max="12" width="18.1796875" bestFit="1" customWidth="1"/>
    <col min="13" max="13" width="19.1796875" bestFit="1" customWidth="1"/>
    <col min="14" max="14" width="18.1796875" bestFit="1" customWidth="1"/>
    <col min="15" max="15" width="19.1796875" bestFit="1" customWidth="1"/>
    <col min="16" max="16" width="22.7265625" bestFit="1" customWidth="1"/>
    <col min="17" max="17" width="23.7265625" bestFit="1" customWidth="1"/>
  </cols>
  <sheetData>
    <row r="12" spans="2:9" x14ac:dyDescent="0.35">
      <c r="B12" s="3" t="s">
        <v>119</v>
      </c>
      <c r="C12" s="3" t="s">
        <v>172</v>
      </c>
    </row>
    <row r="13" spans="2:9" x14ac:dyDescent="0.35">
      <c r="B13" s="3" t="s">
        <v>117</v>
      </c>
      <c r="C13" t="s">
        <v>161</v>
      </c>
      <c r="D13" t="s">
        <v>170</v>
      </c>
      <c r="E13" t="s">
        <v>163</v>
      </c>
      <c r="F13" t="s">
        <v>162</v>
      </c>
      <c r="G13" t="s">
        <v>168</v>
      </c>
      <c r="H13" t="s">
        <v>165</v>
      </c>
      <c r="I13" t="s">
        <v>118</v>
      </c>
    </row>
    <row r="14" spans="2:9" x14ac:dyDescent="0.35">
      <c r="B14" s="4" t="s">
        <v>171</v>
      </c>
      <c r="C14">
        <v>2749.64</v>
      </c>
      <c r="D14">
        <v>600</v>
      </c>
      <c r="E14">
        <v>600</v>
      </c>
      <c r="F14">
        <v>7799.99</v>
      </c>
      <c r="G14">
        <v>6000</v>
      </c>
      <c r="H14">
        <v>1339.94</v>
      </c>
      <c r="I14">
        <v>19089.57</v>
      </c>
    </row>
    <row r="15" spans="2:9" x14ac:dyDescent="0.35">
      <c r="B15" s="4" t="s">
        <v>118</v>
      </c>
      <c r="C15">
        <v>2749.64</v>
      </c>
      <c r="D15">
        <v>600</v>
      </c>
      <c r="E15">
        <v>600</v>
      </c>
      <c r="F15">
        <v>7799.99</v>
      </c>
      <c r="G15">
        <v>6000</v>
      </c>
      <c r="H15">
        <v>1339.94</v>
      </c>
      <c r="I15">
        <v>19089.57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88FA6-BA2B-4B75-9FBE-1931FB5AC369}">
  <dimension ref="A11:H22"/>
  <sheetViews>
    <sheetView workbookViewId="0">
      <selection activeCell="F7" sqref="F7"/>
    </sheetView>
  </sheetViews>
  <sheetFormatPr defaultRowHeight="14.5" x14ac:dyDescent="0.35"/>
  <cols>
    <col min="1" max="1" width="18.1796875" bestFit="1" customWidth="1"/>
    <col min="2" max="2" width="15.6328125" bestFit="1" customWidth="1"/>
    <col min="3" max="4" width="10.1796875" bestFit="1" customWidth="1"/>
    <col min="5" max="5" width="7.81640625" bestFit="1" customWidth="1"/>
    <col min="6" max="6" width="6.453125" bestFit="1" customWidth="1"/>
    <col min="7" max="7" width="7.81640625" bestFit="1" customWidth="1"/>
    <col min="8" max="9" width="10.36328125" bestFit="1" customWidth="1"/>
  </cols>
  <sheetData>
    <row r="11" spans="1:8" x14ac:dyDescent="0.35">
      <c r="A11" s="3" t="s">
        <v>119</v>
      </c>
      <c r="B11" s="3" t="s">
        <v>172</v>
      </c>
    </row>
    <row r="12" spans="1:8" x14ac:dyDescent="0.35">
      <c r="A12" s="3" t="s">
        <v>117</v>
      </c>
      <c r="B12" t="s">
        <v>161</v>
      </c>
      <c r="C12" t="s">
        <v>170</v>
      </c>
      <c r="D12" t="s">
        <v>163</v>
      </c>
      <c r="E12" t="s">
        <v>162</v>
      </c>
      <c r="F12" t="s">
        <v>168</v>
      </c>
      <c r="G12" t="s">
        <v>165</v>
      </c>
      <c r="H12" t="s">
        <v>118</v>
      </c>
    </row>
    <row r="13" spans="1:8" x14ac:dyDescent="0.35">
      <c r="A13" s="4" t="s">
        <v>121</v>
      </c>
      <c r="B13">
        <v>168.78</v>
      </c>
      <c r="G13">
        <v>149.99</v>
      </c>
      <c r="H13">
        <v>318.77</v>
      </c>
    </row>
    <row r="14" spans="1:8" x14ac:dyDescent="0.35">
      <c r="A14" s="4" t="s">
        <v>122</v>
      </c>
      <c r="B14">
        <v>300</v>
      </c>
      <c r="H14">
        <v>300</v>
      </c>
    </row>
    <row r="15" spans="1:8" x14ac:dyDescent="0.35">
      <c r="A15" s="4" t="s">
        <v>123</v>
      </c>
      <c r="B15">
        <v>628.57000000000005</v>
      </c>
      <c r="E15">
        <v>1700</v>
      </c>
      <c r="F15">
        <v>700</v>
      </c>
      <c r="G15">
        <v>389.99</v>
      </c>
      <c r="H15">
        <v>3418.56</v>
      </c>
    </row>
    <row r="16" spans="1:8" x14ac:dyDescent="0.35">
      <c r="A16" s="4" t="s">
        <v>124</v>
      </c>
      <c r="B16">
        <v>399.5</v>
      </c>
      <c r="G16">
        <v>389.99</v>
      </c>
      <c r="H16">
        <v>789.49</v>
      </c>
    </row>
    <row r="17" spans="1:8" x14ac:dyDescent="0.35">
      <c r="A17" s="4" t="s">
        <v>125</v>
      </c>
      <c r="B17">
        <v>281.64999999999998</v>
      </c>
      <c r="D17">
        <v>300</v>
      </c>
      <c r="E17">
        <v>999.99</v>
      </c>
      <c r="F17">
        <v>2400</v>
      </c>
      <c r="G17">
        <v>149.99</v>
      </c>
      <c r="H17">
        <v>4131.63</v>
      </c>
    </row>
    <row r="18" spans="1:8" x14ac:dyDescent="0.35">
      <c r="A18" s="4" t="s">
        <v>126</v>
      </c>
      <c r="B18">
        <v>198.67</v>
      </c>
      <c r="F18">
        <v>600</v>
      </c>
      <c r="H18">
        <v>798.67</v>
      </c>
    </row>
    <row r="19" spans="1:8" x14ac:dyDescent="0.35">
      <c r="A19" s="4" t="s">
        <v>127</v>
      </c>
      <c r="B19">
        <v>189.72</v>
      </c>
      <c r="E19">
        <v>1700</v>
      </c>
      <c r="G19">
        <v>149.99</v>
      </c>
      <c r="H19">
        <v>2039.71</v>
      </c>
    </row>
    <row r="20" spans="1:8" x14ac:dyDescent="0.35">
      <c r="A20" s="4" t="s">
        <v>128</v>
      </c>
      <c r="B20">
        <v>313.97000000000003</v>
      </c>
      <c r="C20">
        <v>600</v>
      </c>
      <c r="D20">
        <v>300</v>
      </c>
      <c r="E20">
        <v>3400</v>
      </c>
      <c r="F20">
        <v>2300</v>
      </c>
      <c r="H20">
        <v>6913.97</v>
      </c>
    </row>
    <row r="21" spans="1:8" x14ac:dyDescent="0.35">
      <c r="A21" s="4" t="s">
        <v>129</v>
      </c>
      <c r="B21">
        <v>268.77999999999997</v>
      </c>
      <c r="G21">
        <v>109.99</v>
      </c>
      <c r="H21">
        <v>378.77</v>
      </c>
    </row>
    <row r="22" spans="1:8" x14ac:dyDescent="0.35">
      <c r="A22" s="4" t="s">
        <v>118</v>
      </c>
      <c r="B22">
        <v>2749.64</v>
      </c>
      <c r="C22">
        <v>600</v>
      </c>
      <c r="D22">
        <v>600</v>
      </c>
      <c r="E22">
        <v>7799.99</v>
      </c>
      <c r="F22">
        <v>6000</v>
      </c>
      <c r="G22">
        <v>1339.94</v>
      </c>
      <c r="H22">
        <v>19089.57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5189F-91FE-42C5-A848-580EB439EDD3}">
  <dimension ref="A10:B16"/>
  <sheetViews>
    <sheetView workbookViewId="0">
      <selection activeCell="F8" sqref="F8"/>
    </sheetView>
  </sheetViews>
  <sheetFormatPr defaultRowHeight="14.5" x14ac:dyDescent="0.35"/>
  <cols>
    <col min="1" max="1" width="12.453125" bestFit="1" customWidth="1"/>
    <col min="2" max="2" width="18.1796875" bestFit="1" customWidth="1"/>
  </cols>
  <sheetData>
    <row r="10" spans="1:2" x14ac:dyDescent="0.35">
      <c r="A10" s="3" t="s">
        <v>117</v>
      </c>
      <c r="B10" t="s">
        <v>119</v>
      </c>
    </row>
    <row r="11" spans="1:2" x14ac:dyDescent="0.35">
      <c r="A11" s="4" t="s">
        <v>128</v>
      </c>
      <c r="B11">
        <v>6913.97</v>
      </c>
    </row>
    <row r="12" spans="1:2" x14ac:dyDescent="0.35">
      <c r="A12" s="4" t="s">
        <v>125</v>
      </c>
      <c r="B12">
        <v>4131.63</v>
      </c>
    </row>
    <row r="13" spans="1:2" x14ac:dyDescent="0.35">
      <c r="A13" s="4" t="s">
        <v>123</v>
      </c>
      <c r="B13">
        <v>3418.56</v>
      </c>
    </row>
    <row r="14" spans="1:2" x14ac:dyDescent="0.35">
      <c r="A14" s="4" t="s">
        <v>127</v>
      </c>
      <c r="B14">
        <v>2039.71</v>
      </c>
    </row>
    <row r="15" spans="1:2" x14ac:dyDescent="0.35">
      <c r="A15" s="4" t="s">
        <v>126</v>
      </c>
      <c r="B15">
        <v>798.67</v>
      </c>
    </row>
    <row r="16" spans="1:2" x14ac:dyDescent="0.35">
      <c r="A16" s="4" t="s">
        <v>118</v>
      </c>
      <c r="B16">
        <v>17302.54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A3BEB-4E36-47B0-BC82-07894082A00B}">
  <dimension ref="A10:B40"/>
  <sheetViews>
    <sheetView workbookViewId="0">
      <selection activeCell="D8" sqref="D8"/>
    </sheetView>
  </sheetViews>
  <sheetFormatPr defaultRowHeight="14.5" x14ac:dyDescent="0.35"/>
  <cols>
    <col min="1" max="1" width="12.453125" bestFit="1" customWidth="1"/>
    <col min="2" max="2" width="18.1796875" bestFit="1" customWidth="1"/>
  </cols>
  <sheetData>
    <row r="10" spans="1:2" x14ac:dyDescent="0.35">
      <c r="A10" s="3" t="s">
        <v>117</v>
      </c>
      <c r="B10" t="s">
        <v>119</v>
      </c>
    </row>
    <row r="11" spans="1:2" x14ac:dyDescent="0.35">
      <c r="A11" s="4" t="s">
        <v>131</v>
      </c>
      <c r="B11">
        <v>111.94</v>
      </c>
    </row>
    <row r="12" spans="1:2" x14ac:dyDescent="0.35">
      <c r="A12" s="4" t="s">
        <v>132</v>
      </c>
      <c r="B12">
        <v>269.85000000000002</v>
      </c>
    </row>
    <row r="13" spans="1:2" x14ac:dyDescent="0.35">
      <c r="A13" s="4" t="s">
        <v>133</v>
      </c>
      <c r="B13">
        <v>611.95000000000005</v>
      </c>
    </row>
    <row r="14" spans="1:2" x14ac:dyDescent="0.35">
      <c r="A14" s="4" t="s">
        <v>134</v>
      </c>
      <c r="B14">
        <v>464.95</v>
      </c>
    </row>
    <row r="15" spans="1:2" x14ac:dyDescent="0.35">
      <c r="A15" s="4" t="s">
        <v>135</v>
      </c>
      <c r="B15">
        <v>23.9</v>
      </c>
    </row>
    <row r="16" spans="1:2" x14ac:dyDescent="0.35">
      <c r="A16" s="4" t="s">
        <v>136</v>
      </c>
      <c r="B16">
        <v>303.81</v>
      </c>
    </row>
    <row r="17" spans="1:2" x14ac:dyDescent="0.35">
      <c r="A17" s="4" t="s">
        <v>137</v>
      </c>
      <c r="B17">
        <v>11.99</v>
      </c>
    </row>
    <row r="18" spans="1:2" x14ac:dyDescent="0.35">
      <c r="A18" s="4" t="s">
        <v>138</v>
      </c>
      <c r="B18">
        <v>861.95</v>
      </c>
    </row>
    <row r="19" spans="1:2" x14ac:dyDescent="0.35">
      <c r="A19" s="4" t="s">
        <v>139</v>
      </c>
      <c r="B19">
        <v>1220.93</v>
      </c>
    </row>
    <row r="20" spans="1:2" x14ac:dyDescent="0.35">
      <c r="A20" s="4" t="s">
        <v>140</v>
      </c>
      <c r="B20">
        <v>1487.58</v>
      </c>
    </row>
    <row r="21" spans="1:2" x14ac:dyDescent="0.35">
      <c r="A21" s="4" t="s">
        <v>141</v>
      </c>
      <c r="B21">
        <v>638.89</v>
      </c>
    </row>
    <row r="22" spans="1:2" x14ac:dyDescent="0.35">
      <c r="A22" s="4" t="s">
        <v>142</v>
      </c>
      <c r="B22">
        <v>11.95</v>
      </c>
    </row>
    <row r="23" spans="1:2" x14ac:dyDescent="0.35">
      <c r="A23" s="4" t="s">
        <v>143</v>
      </c>
      <c r="B23">
        <v>2.99</v>
      </c>
    </row>
    <row r="24" spans="1:2" x14ac:dyDescent="0.35">
      <c r="A24" s="4" t="s">
        <v>144</v>
      </c>
      <c r="B24">
        <v>86.7</v>
      </c>
    </row>
    <row r="25" spans="1:2" x14ac:dyDescent="0.35">
      <c r="A25" s="4" t="s">
        <v>145</v>
      </c>
      <c r="B25">
        <v>689.99</v>
      </c>
    </row>
    <row r="26" spans="1:2" x14ac:dyDescent="0.35">
      <c r="A26" s="4" t="s">
        <v>146</v>
      </c>
      <c r="B26">
        <v>30.77</v>
      </c>
    </row>
    <row r="27" spans="1:2" x14ac:dyDescent="0.35">
      <c r="A27" s="4" t="s">
        <v>147</v>
      </c>
      <c r="B27">
        <v>635.88</v>
      </c>
    </row>
    <row r="28" spans="1:2" x14ac:dyDescent="0.35">
      <c r="A28" s="4" t="s">
        <v>148</v>
      </c>
      <c r="B28">
        <v>50.8</v>
      </c>
    </row>
    <row r="29" spans="1:2" x14ac:dyDescent="0.35">
      <c r="A29" s="4" t="s">
        <v>149</v>
      </c>
      <c r="B29">
        <v>167.92</v>
      </c>
    </row>
    <row r="30" spans="1:2" x14ac:dyDescent="0.35">
      <c r="A30" s="4" t="s">
        <v>150</v>
      </c>
      <c r="B30">
        <v>1367.97</v>
      </c>
    </row>
    <row r="31" spans="1:2" x14ac:dyDescent="0.35">
      <c r="A31" s="4" t="s">
        <v>151</v>
      </c>
      <c r="B31">
        <v>1703.84</v>
      </c>
    </row>
    <row r="32" spans="1:2" x14ac:dyDescent="0.35">
      <c r="A32" s="4" t="s">
        <v>152</v>
      </c>
      <c r="B32">
        <v>1011.94</v>
      </c>
    </row>
    <row r="33" spans="1:2" x14ac:dyDescent="0.35">
      <c r="A33" s="4" t="s">
        <v>153</v>
      </c>
      <c r="B33">
        <v>2167.92</v>
      </c>
    </row>
    <row r="34" spans="1:2" x14ac:dyDescent="0.35">
      <c r="A34" s="4" t="s">
        <v>154</v>
      </c>
      <c r="B34">
        <v>164.95</v>
      </c>
    </row>
    <row r="35" spans="1:2" x14ac:dyDescent="0.35">
      <c r="A35" s="4" t="s">
        <v>155</v>
      </c>
      <c r="B35">
        <v>435.86</v>
      </c>
    </row>
    <row r="36" spans="1:2" x14ac:dyDescent="0.35">
      <c r="A36" s="4" t="s">
        <v>156</v>
      </c>
      <c r="B36">
        <v>2000.86</v>
      </c>
    </row>
    <row r="37" spans="1:2" x14ac:dyDescent="0.35">
      <c r="A37" s="4" t="s">
        <v>157</v>
      </c>
      <c r="B37">
        <v>1853.84</v>
      </c>
    </row>
    <row r="38" spans="1:2" x14ac:dyDescent="0.35">
      <c r="A38" s="4" t="s">
        <v>158</v>
      </c>
      <c r="B38">
        <v>161.94</v>
      </c>
    </row>
    <row r="39" spans="1:2" x14ac:dyDescent="0.35">
      <c r="A39" s="4" t="s">
        <v>159</v>
      </c>
      <c r="B39">
        <v>535.71</v>
      </c>
    </row>
    <row r="40" spans="1:2" x14ac:dyDescent="0.35">
      <c r="A40" s="4" t="s">
        <v>118</v>
      </c>
      <c r="B40">
        <v>19089.57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EEADA-BB9B-4E01-AC6D-D82B7210A1C4}">
  <dimension ref="A10:B16"/>
  <sheetViews>
    <sheetView zoomScaleNormal="100" workbookViewId="0">
      <selection activeCell="H7" sqref="H7"/>
    </sheetView>
  </sheetViews>
  <sheetFormatPr defaultRowHeight="14.5" x14ac:dyDescent="0.35"/>
  <cols>
    <col min="1" max="1" width="22.6328125" bestFit="1" customWidth="1"/>
    <col min="2" max="2" width="18.1796875" bestFit="1" customWidth="1"/>
    <col min="7" max="7" width="11.36328125" customWidth="1"/>
  </cols>
  <sheetData>
    <row r="10" spans="1:2" x14ac:dyDescent="0.35">
      <c r="A10" s="3" t="s">
        <v>117</v>
      </c>
      <c r="B10" t="s">
        <v>119</v>
      </c>
    </row>
    <row r="11" spans="1:2" x14ac:dyDescent="0.35">
      <c r="A11" s="4" t="s">
        <v>96</v>
      </c>
      <c r="B11" s="2">
        <v>999.99</v>
      </c>
    </row>
    <row r="12" spans="1:2" x14ac:dyDescent="0.35">
      <c r="A12" s="4" t="s">
        <v>28</v>
      </c>
      <c r="B12" s="2">
        <v>1350</v>
      </c>
    </row>
    <row r="13" spans="1:2" x14ac:dyDescent="0.35">
      <c r="A13" s="4" t="s">
        <v>39</v>
      </c>
      <c r="B13" s="2">
        <v>1400</v>
      </c>
    </row>
    <row r="14" spans="1:2" x14ac:dyDescent="0.35">
      <c r="A14" s="4" t="s">
        <v>10</v>
      </c>
      <c r="B14" s="2">
        <v>4200</v>
      </c>
    </row>
    <row r="15" spans="1:2" x14ac:dyDescent="0.35">
      <c r="A15" s="4" t="s">
        <v>17</v>
      </c>
      <c r="B15" s="2">
        <v>6800</v>
      </c>
    </row>
    <row r="16" spans="1:2" x14ac:dyDescent="0.35">
      <c r="A16" s="4" t="s">
        <v>118</v>
      </c>
      <c r="B16" s="2">
        <v>14749.99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Raw_Data</vt:lpstr>
      <vt:lpstr>Cleaned_Data</vt:lpstr>
      <vt:lpstr>Overall_Sales_By_Category</vt:lpstr>
      <vt:lpstr>Category_Wise_Sales_By_City</vt:lpstr>
      <vt:lpstr>City_Wise_Sales_Analysis</vt:lpstr>
      <vt:lpstr>Daily_Wise_Sales_Trend</vt:lpstr>
      <vt:lpstr>Top_5_Products_By_Sales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Badurunnisa</dc:creator>
  <cp:lastModifiedBy>Mohammad Badurunnisa</cp:lastModifiedBy>
  <dcterms:created xsi:type="dcterms:W3CDTF">2026-01-10T09:11:29Z</dcterms:created>
  <dcterms:modified xsi:type="dcterms:W3CDTF">2026-01-12T19:27:29Z</dcterms:modified>
</cp:coreProperties>
</file>