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C7D02BE-1597-4FC5-BBE5-C1AFF5CAF5C1}" xr6:coauthVersionLast="47" xr6:coauthVersionMax="47" xr10:uidLastSave="{00000000-0000-0000-0000-000000000000}"/>
  <bookViews>
    <workbookView xWindow="-110" yWindow="-110" windowWidth="19420" windowHeight="10420" activeTab="1" xr2:uid="{AEF03737-7669-47ED-BD9A-7C28CAC88541}"/>
  </bookViews>
  <sheets>
    <sheet name="Sheet2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</calcChain>
</file>

<file path=xl/sharedStrings.xml><?xml version="1.0" encoding="utf-8"?>
<sst xmlns="http://schemas.openxmlformats.org/spreadsheetml/2006/main" count="155" uniqueCount="82">
  <si>
    <t>Student ID</t>
  </si>
  <si>
    <t>Name</t>
  </si>
  <si>
    <t>Subject</t>
  </si>
  <si>
    <t>Marks</t>
  </si>
  <si>
    <t>Afrin</t>
  </si>
  <si>
    <t>Maths</t>
  </si>
  <si>
    <t>Arjun</t>
  </si>
  <si>
    <t>Ravi</t>
  </si>
  <si>
    <t>Nithya</t>
  </si>
  <si>
    <t>Bhanu</t>
  </si>
  <si>
    <t>Sowmya</t>
  </si>
  <si>
    <t>Divya</t>
  </si>
  <si>
    <t>Priya</t>
  </si>
  <si>
    <t>Sara</t>
  </si>
  <si>
    <t>Nayak</t>
  </si>
  <si>
    <t>Kumar</t>
  </si>
  <si>
    <t>Vikram</t>
  </si>
  <si>
    <t>Simran</t>
  </si>
  <si>
    <t>Anu</t>
  </si>
  <si>
    <t>Manoj</t>
  </si>
  <si>
    <t>Rahul</t>
  </si>
  <si>
    <t>Meena</t>
  </si>
  <si>
    <t>Jyothi</t>
  </si>
  <si>
    <t xml:space="preserve">Shiva </t>
  </si>
  <si>
    <t>Neha</t>
  </si>
  <si>
    <t>Sanjay</t>
  </si>
  <si>
    <t>Akram</t>
  </si>
  <si>
    <t>Rohit</t>
  </si>
  <si>
    <t>Alekhya</t>
  </si>
  <si>
    <t>Ananadi</t>
  </si>
  <si>
    <t>Aman</t>
  </si>
  <si>
    <t>Ritu</t>
  </si>
  <si>
    <t>John</t>
  </si>
  <si>
    <t>Kiran</t>
  </si>
  <si>
    <t>Asif</t>
  </si>
  <si>
    <t>Sandeep</t>
  </si>
  <si>
    <t>Pooja</t>
  </si>
  <si>
    <t>Aayesha</t>
  </si>
  <si>
    <t>Madhu</t>
  </si>
  <si>
    <t>Kittu</t>
  </si>
  <si>
    <t>Sameena</t>
  </si>
  <si>
    <t>Suhani</t>
  </si>
  <si>
    <t>Sandhya</t>
  </si>
  <si>
    <t>Kavya</t>
  </si>
  <si>
    <t>Nani</t>
  </si>
  <si>
    <t>Sai</t>
  </si>
  <si>
    <t>Shabeer</t>
  </si>
  <si>
    <t>Akaash</t>
  </si>
  <si>
    <t>Varun</t>
  </si>
  <si>
    <t>Munna</t>
  </si>
  <si>
    <t>Arya</t>
  </si>
  <si>
    <t>Kajol</t>
  </si>
  <si>
    <t>Niha</t>
  </si>
  <si>
    <t>Harika</t>
  </si>
  <si>
    <t>Govind</t>
  </si>
  <si>
    <t>Aslam</t>
  </si>
  <si>
    <t>Harish</t>
  </si>
  <si>
    <t>Nadiya</t>
  </si>
  <si>
    <t>Shakeeb</t>
  </si>
  <si>
    <t>Ahmad</t>
  </si>
  <si>
    <t>Ganesh</t>
  </si>
  <si>
    <t>Rishith</t>
  </si>
  <si>
    <t>Lohith</t>
  </si>
  <si>
    <t>Shekar</t>
  </si>
  <si>
    <t>Science</t>
  </si>
  <si>
    <t>English</t>
  </si>
  <si>
    <t xml:space="preserve">Hindi </t>
  </si>
  <si>
    <t>Physics</t>
  </si>
  <si>
    <t>Social</t>
  </si>
  <si>
    <t>Biology</t>
  </si>
  <si>
    <t>Result</t>
  </si>
  <si>
    <t>Row Labels</t>
  </si>
  <si>
    <t>Grand Total</t>
  </si>
  <si>
    <t>Average of Marks</t>
  </si>
  <si>
    <t>Column Labels</t>
  </si>
  <si>
    <t>Fail</t>
  </si>
  <si>
    <t>Pass</t>
  </si>
  <si>
    <t>Count of Result</t>
  </si>
  <si>
    <t>Lowest score</t>
  </si>
  <si>
    <t xml:space="preserve">Lowest Student </t>
  </si>
  <si>
    <t>Top Score</t>
  </si>
  <si>
    <t>Top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</si>
</sst>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Marks by Subject</a:t>
            </a:r>
          </a:p>
        </c:rich>
      </c:tx>
      <c:layout>
        <c:manualLayout>
          <c:xMode val="edge"/>
          <c:yMode val="edge"/>
          <c:x val="0.2549930008748906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Sheet2!$A$4:$A$11</c:f>
              <c:strCache>
                <c:ptCount val="7"/>
                <c:pt idx="0">
                  <c:v>Biology</c:v>
                </c:pt>
                <c:pt idx="1">
                  <c:v>English</c:v>
                </c:pt>
                <c:pt idx="2">
                  <c:v>Hindi </c:v>
                </c:pt>
                <c:pt idx="3">
                  <c:v>Maths</c:v>
                </c:pt>
                <c:pt idx="4">
                  <c:v>Physics</c:v>
                </c:pt>
                <c:pt idx="5">
                  <c:v>Science</c:v>
                </c:pt>
                <c:pt idx="6">
                  <c:v>Social</c:v>
                </c:pt>
              </c:strCache>
            </c:strRef>
          </c:cat>
          <c:val>
            <c:numRef>
              <c:f>Sheet2!$B$4:$B$11</c:f>
              <c:numCache>
                <c:formatCode>0</c:formatCode>
                <c:ptCount val="7"/>
                <c:pt idx="0">
                  <c:v>46.246861025111826</c:v>
                </c:pt>
                <c:pt idx="1">
                  <c:v>40.354546496961376</c:v>
                </c:pt>
                <c:pt idx="2">
                  <c:v>45.148339257730399</c:v>
                </c:pt>
                <c:pt idx="3">
                  <c:v>47.559874632114074</c:v>
                </c:pt>
                <c:pt idx="4">
                  <c:v>44.064843481252161</c:v>
                </c:pt>
                <c:pt idx="5">
                  <c:v>38.850552306692691</c:v>
                </c:pt>
                <c:pt idx="6">
                  <c:v>47.544848641210905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C-467B-ABDF-77CA1D7B14C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35963568"/>
        <c:axId val="1835961648"/>
      </c:barChart>
      <c:catAx>
        <c:axId val="18359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61648"/>
        <c:crosses val="autoZero"/>
        <c:auto val="1"/>
        <c:lblAlgn val="ctr"/>
        <c:lblOffset val="100"/>
        <c:noMultiLvlLbl val="0"/>
      </c:catAx>
      <c:valAx>
        <c:axId val="183596164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</a:t>
            </a:r>
            <a:r>
              <a:rPr lang="en-US" baseline="0"/>
              <a:t> Vs Fail % by subject</a:t>
            </a:r>
            <a:endParaRPr lang="en-US"/>
          </a:p>
        </c:rich>
      </c:tx>
      <c:layout>
        <c:manualLayout>
          <c:xMode val="edge"/>
          <c:yMode val="edge"/>
          <c:x val="0.25159183673469387"/>
          <c:y val="9.2718455136574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Sheet2!$B$13:$B$14</c:f>
              <c:strCache>
                <c:ptCount val="1"/>
                <c:pt idx="0">
                  <c:v>Fail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Sheet2!$A$15:$A$22</c:f>
              <c:strCache>
                <c:ptCount val="7"/>
                <c:pt idx="0">
                  <c:v>Biology</c:v>
                </c:pt>
                <c:pt idx="1">
                  <c:v>English</c:v>
                </c:pt>
                <c:pt idx="2">
                  <c:v>Hindi </c:v>
                </c:pt>
                <c:pt idx="3">
                  <c:v>Maths</c:v>
                </c:pt>
                <c:pt idx="4">
                  <c:v>Physics</c:v>
                </c:pt>
                <c:pt idx="5">
                  <c:v>Science</c:v>
                </c:pt>
                <c:pt idx="6">
                  <c:v>Social</c:v>
                </c:pt>
              </c:strCache>
            </c:strRef>
          </c:cat>
          <c:val>
            <c:numRef>
              <c:f>Sheet2!$B$15:$B$22</c:f>
              <c:numCache>
                <c:formatCode>0%</c:formatCode>
                <c:ptCount val="7"/>
                <c:pt idx="0">
                  <c:v>0.375</c:v>
                </c:pt>
                <c:pt idx="1">
                  <c:v>0.66666666666666663</c:v>
                </c:pt>
                <c:pt idx="2">
                  <c:v>0.44444444444444442</c:v>
                </c:pt>
                <c:pt idx="3">
                  <c:v>0.33333333333333331</c:v>
                </c:pt>
                <c:pt idx="4">
                  <c:v>0.375</c:v>
                </c:pt>
                <c:pt idx="5">
                  <c:v>0.33333333333333331</c:v>
                </c:pt>
                <c:pt idx="6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8-4BD5-8DB7-BBAF8FD651FA}"/>
            </c:ext>
          </c:extLst>
        </c:ser>
        <c:ser>
          <c:idx val="1"/>
          <c:order val="1"/>
          <c:tx>
            <c:strRef>
              <c:f>Sheet2!$C$13:$C$14</c:f>
              <c:strCache>
                <c:ptCount val="1"/>
                <c:pt idx="0">
                  <c:v>Pass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Sheet2!$A$15:$A$22</c:f>
              <c:strCache>
                <c:ptCount val="7"/>
                <c:pt idx="0">
                  <c:v>Biology</c:v>
                </c:pt>
                <c:pt idx="1">
                  <c:v>English</c:v>
                </c:pt>
                <c:pt idx="2">
                  <c:v>Hindi </c:v>
                </c:pt>
                <c:pt idx="3">
                  <c:v>Maths</c:v>
                </c:pt>
                <c:pt idx="4">
                  <c:v>Physics</c:v>
                </c:pt>
                <c:pt idx="5">
                  <c:v>Science</c:v>
                </c:pt>
                <c:pt idx="6">
                  <c:v>Social</c:v>
                </c:pt>
              </c:strCache>
            </c:strRef>
          </c:cat>
          <c:val>
            <c:numRef>
              <c:f>Sheet2!$C$15:$C$22</c:f>
              <c:numCache>
                <c:formatCode>0%</c:formatCode>
                <c:ptCount val="7"/>
                <c:pt idx="0">
                  <c:v>0.625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0.66666666666666663</c:v>
                </c:pt>
                <c:pt idx="4">
                  <c:v>0.625</c:v>
                </c:pt>
                <c:pt idx="5">
                  <c:v>0.66666666666666663</c:v>
                </c:pt>
                <c:pt idx="6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8-4BD5-8DB7-BBAF8FD651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6731968"/>
        <c:axId val="1827494976"/>
      </c:lineChart>
      <c:catAx>
        <c:axId val="167673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94976"/>
        <c:crosses val="autoZero"/>
        <c:auto val="1"/>
        <c:lblAlgn val="ctr"/>
        <c:lblOffset val="100"/>
        <c:noMultiLvlLbl val="0"/>
      </c:catAx>
      <c:valAx>
        <c:axId val="1827494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7673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574674</xdr:colOff>
      <xdr:row>0</xdr:row>
      <xdr:rowOff>39687</xdr:rowOff>
    </xdr:from>
    <xdr:to>
      <xdr:col>12</xdr:col>
      <xdr:colOff>254000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B7E29-FE80-872D-3095-DB2B36740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555626</xdr:colOff>
      <xdr:row>12</xdr:row>
      <xdr:rowOff>140494</xdr:rowOff>
    </xdr:from>
    <xdr:to>
      <xdr:col>12</xdr:col>
      <xdr:colOff>166688</xdr:colOff>
      <xdr:row>24</xdr:row>
      <xdr:rowOff>111126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81DF6E-C9B9-F70E-F23D-F03B6B300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2.543610763889" createdVersion="8" refreshedVersion="8" minRefreshableVersion="3" recordCount="60" xr:uid="{CC3125F6-5C6F-4BAF-BDE5-CEAFA6C9C664}">
  <cacheSource type="worksheet">
    <worksheetSource name="Table1"/>
  </cacheSource>
  <cacheFields count="5">
    <cacheField name="Student ID" numFmtId="0">
      <sharedItems containsSemiMixedTypes="0" containsString="0" containsNumber="1" containsInteger="1" minValue="1" maxValue="60"/>
    </cacheField>
    <cacheField name="Name" numFmtId="0">
      <sharedItems/>
    </cacheField>
    <cacheField name="Subject" numFmtId="0">
      <sharedItems count="7">
        <s v="Maths"/>
        <s v="Science"/>
        <s v="English"/>
        <s v="Hindi "/>
        <s v="Physics"/>
        <s v="Social"/>
        <s v="Biology"/>
      </sharedItems>
    </cacheField>
    <cacheField name="Marks" numFmtId="1">
      <sharedItems containsSemiMixedTypes="0" containsString="0" containsNumber="1" minValue="9.4399724802201597" maxValue="88"/>
    </cacheField>
    <cacheField name="Result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Afrin"/>
    <x v="0"/>
    <n v="78"/>
    <x v="0"/>
  </r>
  <r>
    <n v="2"/>
    <s v="Arjun"/>
    <x v="1"/>
    <n v="45"/>
    <x v="0"/>
  </r>
  <r>
    <n v="3"/>
    <s v="Nithya"/>
    <x v="2"/>
    <n v="88"/>
    <x v="0"/>
  </r>
  <r>
    <n v="4"/>
    <s v="Bhanu"/>
    <x v="3"/>
    <n v="55"/>
    <x v="0"/>
  </r>
  <r>
    <n v="5"/>
    <s v="Ravi"/>
    <x v="4"/>
    <n v="45"/>
    <x v="0"/>
  </r>
  <r>
    <n v="6"/>
    <s v="Sowmya"/>
    <x v="5"/>
    <n v="85"/>
    <x v="0"/>
  </r>
  <r>
    <n v="7"/>
    <s v="Divya"/>
    <x v="6"/>
    <n v="68"/>
    <x v="0"/>
  </r>
  <r>
    <n v="8"/>
    <s v="Priya"/>
    <x v="0"/>
    <n v="74"/>
    <x v="0"/>
  </r>
  <r>
    <n v="9"/>
    <s v="Sara"/>
    <x v="1"/>
    <n v="40"/>
    <x v="0"/>
  </r>
  <r>
    <n v="10"/>
    <s v="Nayak"/>
    <x v="2"/>
    <n v="65"/>
    <x v="0"/>
  </r>
  <r>
    <n v="11"/>
    <s v="Kumar"/>
    <x v="3"/>
    <n v="87"/>
    <x v="0"/>
  </r>
  <r>
    <n v="12"/>
    <s v="Vikram"/>
    <x v="4"/>
    <n v="43"/>
    <x v="0"/>
  </r>
  <r>
    <n v="13"/>
    <s v="Simran"/>
    <x v="5"/>
    <n v="66"/>
    <x v="0"/>
  </r>
  <r>
    <n v="14"/>
    <s v="Anu"/>
    <x v="6"/>
    <n v="78"/>
    <x v="0"/>
  </r>
  <r>
    <n v="15"/>
    <s v="Manoj"/>
    <x v="0"/>
    <n v="55"/>
    <x v="0"/>
  </r>
  <r>
    <n v="16"/>
    <s v="Rahul"/>
    <x v="1"/>
    <n v="48"/>
    <x v="0"/>
  </r>
  <r>
    <n v="17"/>
    <s v="Meena"/>
    <x v="2"/>
    <n v="39"/>
    <x v="1"/>
  </r>
  <r>
    <n v="18"/>
    <s v="Jyothi"/>
    <x v="3"/>
    <n v="49"/>
    <x v="0"/>
  </r>
  <r>
    <n v="19"/>
    <s v="Shiva "/>
    <x v="4"/>
    <n v="51.751633986928098"/>
    <x v="0"/>
  </r>
  <r>
    <n v="20"/>
    <s v="Neha"/>
    <x v="5"/>
    <n v="50.719642242862101"/>
    <x v="0"/>
  </r>
  <r>
    <n v="21"/>
    <s v="Sanjay"/>
    <x v="6"/>
    <n v="49.687650498796003"/>
    <x v="0"/>
  </r>
  <r>
    <n v="22"/>
    <s v="Akram"/>
    <x v="0"/>
    <n v="48.655658754729998"/>
    <x v="0"/>
  </r>
  <r>
    <n v="23"/>
    <s v="Rohit"/>
    <x v="1"/>
    <n v="47.623667010664001"/>
    <x v="0"/>
  </r>
  <r>
    <n v="24"/>
    <s v="Alekhya"/>
    <x v="2"/>
    <n v="46.591675266597903"/>
    <x v="0"/>
  </r>
  <r>
    <n v="25"/>
    <s v="Ananadi"/>
    <x v="3"/>
    <n v="45.559683522531898"/>
    <x v="0"/>
  </r>
  <r>
    <n v="26"/>
    <s v="Aman"/>
    <x v="4"/>
    <n v="44.527691778465801"/>
    <x v="0"/>
  </r>
  <r>
    <n v="27"/>
    <s v="Ritu"/>
    <x v="5"/>
    <n v="43.495700034399803"/>
    <x v="0"/>
  </r>
  <r>
    <n v="28"/>
    <s v="John"/>
    <x v="6"/>
    <n v="42.463708290333699"/>
    <x v="0"/>
  </r>
  <r>
    <n v="29"/>
    <s v="Kiran"/>
    <x v="0"/>
    <n v="41.431716546267701"/>
    <x v="0"/>
  </r>
  <r>
    <n v="30"/>
    <s v="Asif"/>
    <x v="1"/>
    <n v="40.399724802201597"/>
    <x v="0"/>
  </r>
  <r>
    <n v="31"/>
    <s v="Sandeep"/>
    <x v="2"/>
    <n v="39.367733058135599"/>
    <x v="1"/>
  </r>
  <r>
    <n v="32"/>
    <s v="Pooja"/>
    <x v="3"/>
    <n v="38.335741314069502"/>
    <x v="1"/>
  </r>
  <r>
    <n v="33"/>
    <s v="Ravi"/>
    <x v="4"/>
    <n v="37.303749570003497"/>
    <x v="1"/>
  </r>
  <r>
    <n v="34"/>
    <s v="Aayesha"/>
    <x v="5"/>
    <n v="36.271757825937399"/>
    <x v="1"/>
  </r>
  <r>
    <n v="35"/>
    <s v="Madhu"/>
    <x v="6"/>
    <n v="35.239766081871402"/>
    <x v="1"/>
  </r>
  <r>
    <n v="36"/>
    <s v="Kittu"/>
    <x v="0"/>
    <n v="34.207774337805297"/>
    <x v="1"/>
  </r>
  <r>
    <n v="37"/>
    <s v="Sameena"/>
    <x v="1"/>
    <n v="33.175782593739299"/>
    <x v="1"/>
  </r>
  <r>
    <n v="38"/>
    <s v="Suhani"/>
    <x v="2"/>
    <n v="32.143790849673202"/>
    <x v="1"/>
  </r>
  <r>
    <n v="39"/>
    <s v="Sandhya"/>
    <x v="3"/>
    <n v="31.111799105607201"/>
    <x v="1"/>
  </r>
  <r>
    <n v="40"/>
    <s v="Kavya"/>
    <x v="4"/>
    <n v="30.0798073615411"/>
    <x v="1"/>
  </r>
  <r>
    <n v="41"/>
    <s v="Nani"/>
    <x v="5"/>
    <n v="29.047815617475099"/>
    <x v="1"/>
  </r>
  <r>
    <n v="42"/>
    <s v="Sai"/>
    <x v="6"/>
    <n v="28.015823873409101"/>
    <x v="1"/>
  </r>
  <r>
    <n v="43"/>
    <s v="Shabeer"/>
    <x v="0"/>
    <n v="26.983832129343"/>
    <x v="1"/>
  </r>
  <r>
    <n v="44"/>
    <s v="Akaash"/>
    <x v="1"/>
    <n v="25.951840385276999"/>
    <x v="1"/>
  </r>
  <r>
    <n v="45"/>
    <s v="Varun"/>
    <x v="2"/>
    <n v="24.919848641210901"/>
    <x v="1"/>
  </r>
  <r>
    <n v="46"/>
    <s v="Munna"/>
    <x v="3"/>
    <n v="23.8878568971449"/>
    <x v="1"/>
  </r>
  <r>
    <n v="47"/>
    <s v="Arya"/>
    <x v="4"/>
    <n v="22.855865153078799"/>
    <x v="1"/>
  </r>
  <r>
    <n v="48"/>
    <s v="Kajol"/>
    <x v="5"/>
    <n v="21.823873409012801"/>
    <x v="1"/>
  </r>
  <r>
    <n v="49"/>
    <s v="Niha"/>
    <x v="6"/>
    <n v="55"/>
    <x v="0"/>
  </r>
  <r>
    <n v="50"/>
    <s v="Harika"/>
    <x v="0"/>
    <n v="19.759889920880699"/>
    <x v="1"/>
  </r>
  <r>
    <n v="51"/>
    <s v="Govind"/>
    <x v="1"/>
    <n v="58"/>
    <x v="0"/>
  </r>
  <r>
    <n v="52"/>
    <s v="Aslam"/>
    <x v="2"/>
    <n v="17.6959064327486"/>
    <x v="1"/>
  </r>
  <r>
    <n v="53"/>
    <s v="Harish"/>
    <x v="3"/>
    <n v="67"/>
    <x v="0"/>
  </r>
  <r>
    <n v="54"/>
    <s v="Nadiya"/>
    <x v="4"/>
    <n v="78"/>
    <x v="0"/>
  </r>
  <r>
    <n v="55"/>
    <s v="Shakeeb"/>
    <x v="5"/>
    <n v="48"/>
    <x v="0"/>
  </r>
  <r>
    <n v="56"/>
    <s v="Ahmad"/>
    <x v="6"/>
    <n v="13.5679394564844"/>
    <x v="1"/>
  </r>
  <r>
    <n v="57"/>
    <s v="Ganesh"/>
    <x v="0"/>
    <n v="50"/>
    <x v="0"/>
  </r>
  <r>
    <n v="58"/>
    <s v="Rishith"/>
    <x v="1"/>
    <n v="11.503955968352299"/>
    <x v="1"/>
  </r>
  <r>
    <n v="59"/>
    <s v="Lohith"/>
    <x v="2"/>
    <n v="10.4719642242862"/>
    <x v="1"/>
  </r>
  <r>
    <n v="60"/>
    <s v="Shekar"/>
    <x v="3"/>
    <n v="9.43997248022015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10091-3BA2-460F-A67F-68682C5BBD2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D22" firstHeaderRow="1" firstDataRow="2" firstDataCol="1"/>
  <pivotFields count="5">
    <pivotField showAll="0"/>
    <pivotField showAll="0"/>
    <pivotField axis="axisRow" showAll="0">
      <items count="8">
        <item x="6"/>
        <item x="2"/>
        <item x="3"/>
        <item x="0"/>
        <item x="4"/>
        <item x="1"/>
        <item x="5"/>
        <item t="default"/>
      </items>
    </pivotField>
    <pivotField numFmtId="1" showAll="0"/>
    <pivotField axis="axisCol" dataField="1" showAll="0">
      <items count="3">
        <item x="1"/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Result" fld="4" subtotal="count" showDataAs="percentOfRow" baseField="0" baseItem="0" numFmtId="9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DDC97-B51C-4C2E-AA43-D41B3FAB7E8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5">
    <pivotField showAll="0"/>
    <pivotField showAll="0"/>
    <pivotField axis="axisRow" showAll="0">
      <items count="8">
        <item x="6"/>
        <item x="2"/>
        <item x="3"/>
        <item x="0"/>
        <item x="4"/>
        <item x="1"/>
        <item x="5"/>
        <item t="default"/>
      </items>
    </pivotField>
    <pivotField dataField="1" numFmtI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arks" fld="3" subtotal="average" baseField="2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BBA86-7669-4238-86BB-F68A95D4750C}" name="Table1" displayName="Table1" ref="A1:E61" totalsRowShown="0">
  <autoFilter ref="A1:E61" xr:uid="{259BBA86-7669-4238-86BB-F68A95D4750C}"/>
  <tableColumns count="5">
    <tableColumn id="1" xr3:uid="{36644002-65EC-40D3-9CA1-249E6BF33695}" name="Student ID"/>
    <tableColumn id="2" xr3:uid="{0C1E36F0-986E-42AC-8D54-D0CADF401ED2}" name="Name"/>
    <tableColumn id="3" xr3:uid="{08F6E618-0CAF-4497-95DC-2409B28830B1}" name="Subject"/>
    <tableColumn id="4" xr3:uid="{3EEDBE3F-86FF-404C-A3DB-476069A8B5C3}" name="Marks" dataDxfId="1"/>
    <tableColumn id="5" xr3:uid="{1D0EBB30-B960-4AD0-9E89-3B3CA3BA798C}" name="Result">
      <calculatedColumnFormula>IF(D2&gt;=40,"Pass","Fail")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D687-3C47-4A58-A6A7-39D987615823}">
  <dimension ref="A3:D22"/>
  <sheetViews>
    <sheetView zoomScale="80" zoomScaleNormal="80" workbookViewId="0">
      <selection activeCell="E6" sqref="E6"/>
    </sheetView>
  </sheetViews>
  <sheetFormatPr defaultRowHeight="14.5" x14ac:dyDescent="0.35"/>
  <cols>
    <col min="1" max="1" width="13.7265625" bestFit="1" customWidth="1"/>
    <col min="2" max="2" width="16.453125" bestFit="1" customWidth="1"/>
    <col min="3" max="3" width="7.26953125" bestFit="1" customWidth="1"/>
    <col min="4" max="4" width="10.81640625" bestFit="1" customWidth="1"/>
  </cols>
  <sheetData>
    <row r="3" spans="1:4" x14ac:dyDescent="0.35">
      <c r="A3" s="2" t="s">
        <v>71</v>
      </c>
      <c r="B3" t="s">
        <v>73</v>
      </c>
    </row>
    <row r="4" spans="1:4" x14ac:dyDescent="0.35">
      <c r="A4" s="3" t="s">
        <v>69</v>
      </c>
      <c r="B4" s="1">
        <v>46.246861025111826</v>
      </c>
    </row>
    <row r="5" spans="1:4" x14ac:dyDescent="0.35">
      <c r="A5" s="3" t="s">
        <v>65</v>
      </c>
      <c r="B5" s="1">
        <v>40.354546496961376</v>
      </c>
    </row>
    <row r="6" spans="1:4" x14ac:dyDescent="0.35">
      <c r="A6" s="3" t="s">
        <v>66</v>
      </c>
      <c r="B6" s="1">
        <v>45.148339257730399</v>
      </c>
    </row>
    <row r="7" spans="1:4" x14ac:dyDescent="0.35">
      <c r="A7" s="3" t="s">
        <v>5</v>
      </c>
      <c r="B7" s="1">
        <v>47.559874632114074</v>
      </c>
    </row>
    <row r="8" spans="1:4" x14ac:dyDescent="0.35">
      <c r="A8" s="3" t="s">
        <v>67</v>
      </c>
      <c r="B8" s="1">
        <v>44.064843481252161</v>
      </c>
    </row>
    <row r="9" spans="1:4" x14ac:dyDescent="0.35">
      <c r="A9" s="3" t="s">
        <v>64</v>
      </c>
      <c r="B9" s="1">
        <v>38.850552306692691</v>
      </c>
    </row>
    <row r="10" spans="1:4" x14ac:dyDescent="0.35">
      <c r="A10" s="3" t="s">
        <v>68</v>
      </c>
      <c r="B10" s="1">
        <v>47.544848641210905</v>
      </c>
    </row>
    <row r="11" spans="1:4" x14ac:dyDescent="0.35">
      <c r="A11" s="3" t="s">
        <v>72</v>
      </c>
      <c r="B11" s="1">
        <v>44.167870657034769</v>
      </c>
    </row>
    <row r="13" spans="1:4" x14ac:dyDescent="0.35">
      <c r="A13" s="2" t="s">
        <v>77</v>
      </c>
      <c r="B13" s="2" t="s">
        <v>74</v>
      </c>
    </row>
    <row r="14" spans="1:4" x14ac:dyDescent="0.35">
      <c r="A14" s="2" t="s">
        <v>71</v>
      </c>
      <c r="B14" t="s">
        <v>75</v>
      </c>
      <c r="C14" t="s">
        <v>76</v>
      </c>
      <c r="D14" t="s">
        <v>72</v>
      </c>
    </row>
    <row r="15" spans="1:4" x14ac:dyDescent="0.35">
      <c r="A15" s="3" t="s">
        <v>69</v>
      </c>
      <c r="B15" s="4">
        <v>0.375</v>
      </c>
      <c r="C15" s="4">
        <v>0.625</v>
      </c>
      <c r="D15" s="4">
        <v>1</v>
      </c>
    </row>
    <row r="16" spans="1:4" x14ac:dyDescent="0.35">
      <c r="A16" s="3" t="s">
        <v>65</v>
      </c>
      <c r="B16" s="4">
        <v>0.66666666666666663</v>
      </c>
      <c r="C16" s="4">
        <v>0.33333333333333331</v>
      </c>
      <c r="D16" s="4">
        <v>1</v>
      </c>
    </row>
    <row r="17" spans="1:4" x14ac:dyDescent="0.35">
      <c r="A17" s="3" t="s">
        <v>66</v>
      </c>
      <c r="B17" s="4">
        <v>0.44444444444444442</v>
      </c>
      <c r="C17" s="4">
        <v>0.55555555555555558</v>
      </c>
      <c r="D17" s="4">
        <v>1</v>
      </c>
    </row>
    <row r="18" spans="1:4" x14ac:dyDescent="0.35">
      <c r="A18" s="3" t="s">
        <v>5</v>
      </c>
      <c r="B18" s="4">
        <v>0.33333333333333331</v>
      </c>
      <c r="C18" s="4">
        <v>0.66666666666666663</v>
      </c>
      <c r="D18" s="4">
        <v>1</v>
      </c>
    </row>
    <row r="19" spans="1:4" x14ac:dyDescent="0.35">
      <c r="A19" s="3" t="s">
        <v>67</v>
      </c>
      <c r="B19" s="4">
        <v>0.375</v>
      </c>
      <c r="C19" s="4">
        <v>0.625</v>
      </c>
      <c r="D19" s="4">
        <v>1</v>
      </c>
    </row>
    <row r="20" spans="1:4" x14ac:dyDescent="0.35">
      <c r="A20" s="3" t="s">
        <v>64</v>
      </c>
      <c r="B20" s="4">
        <v>0.33333333333333331</v>
      </c>
      <c r="C20" s="4">
        <v>0.66666666666666663</v>
      </c>
      <c r="D20" s="4">
        <v>1</v>
      </c>
    </row>
    <row r="21" spans="1:4" x14ac:dyDescent="0.35">
      <c r="A21" s="3" t="s">
        <v>68</v>
      </c>
      <c r="B21" s="4">
        <v>0.375</v>
      </c>
      <c r="C21" s="4">
        <v>0.625</v>
      </c>
      <c r="D21" s="4">
        <v>1</v>
      </c>
    </row>
    <row r="22" spans="1:4" x14ac:dyDescent="0.35">
      <c r="A22" s="3" t="s">
        <v>72</v>
      </c>
      <c r="B22" s="4">
        <v>0.41666666666666669</v>
      </c>
      <c r="C22" s="4">
        <v>0.58333333333333337</v>
      </c>
      <c r="D22" s="4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673-B9B4-4C25-BEAC-5093D6B14892}">
  <dimension ref="A1:L61"/>
  <sheetViews>
    <sheetView tabSelected="1" workbookViewId="0">
      <selection activeCell="N6" sqref="N6"/>
    </sheetView>
  </sheetViews>
  <sheetFormatPr defaultRowHeight="14.5" x14ac:dyDescent="0.35"/>
  <cols>
    <col min="1" max="1" width="11.7265625" customWidth="1"/>
    <col min="2" max="2" width="11.453125" customWidth="1"/>
    <col min="3" max="3" width="10.26953125" customWidth="1"/>
    <col min="4" max="4" width="10.54296875" customWidth="1"/>
    <col min="11" max="11" width="13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70</v>
      </c>
      <c r="K1" t="s">
        <v>80</v>
      </c>
    </row>
    <row r="2" spans="1:12" x14ac:dyDescent="0.35">
      <c r="A2">
        <v>1</v>
      </c>
      <c r="B2" t="s">
        <v>4</v>
      </c>
      <c r="C2" t="s">
        <v>5</v>
      </c>
      <c r="D2" s="1">
        <v>78</v>
      </c>
      <c r="E2" t="str">
        <f>IF(D2&gt;=40,"Pass","Fail")</f>
        <v>Pass</v>
      </c>
      <c r="K2" s="1">
        <f>MAX(D2:D21)</f>
        <v>88</v>
      </c>
    </row>
    <row r="3" spans="1:12" x14ac:dyDescent="0.35">
      <c r="A3">
        <v>2</v>
      </c>
      <c r="B3" t="s">
        <v>6</v>
      </c>
      <c r="C3" t="s">
        <v>64</v>
      </c>
      <c r="D3" s="1">
        <v>45</v>
      </c>
      <c r="E3" t="str">
        <f t="shared" ref="E3:E61" si="0">IF(D3&gt;=40,"Pass","Fail")</f>
        <v>Pass</v>
      </c>
      <c r="K3" t="s">
        <v>81</v>
      </c>
    </row>
    <row r="4" spans="1:12" x14ac:dyDescent="0.35">
      <c r="A4">
        <v>3</v>
      </c>
      <c r="B4" t="s">
        <v>8</v>
      </c>
      <c r="C4" t="s">
        <v>65</v>
      </c>
      <c r="D4" s="1">
        <v>88</v>
      </c>
      <c r="E4" t="str">
        <f t="shared" si="0"/>
        <v>Pass</v>
      </c>
      <c r="K4" t="s">
        <v>8</v>
      </c>
    </row>
    <row r="5" spans="1:12" x14ac:dyDescent="0.35">
      <c r="A5">
        <v>4</v>
      </c>
      <c r="B5" t="s">
        <v>9</v>
      </c>
      <c r="C5" t="s">
        <v>66</v>
      </c>
      <c r="D5" s="1">
        <v>55</v>
      </c>
      <c r="E5" t="str">
        <f t="shared" si="0"/>
        <v>Pass</v>
      </c>
      <c r="K5" t="s">
        <v>78</v>
      </c>
    </row>
    <row r="6" spans="1:12" x14ac:dyDescent="0.35">
      <c r="A6">
        <v>5</v>
      </c>
      <c r="B6" t="s">
        <v>7</v>
      </c>
      <c r="C6" t="s">
        <v>67</v>
      </c>
      <c r="D6" s="1">
        <v>45</v>
      </c>
      <c r="E6" t="str">
        <f t="shared" si="0"/>
        <v>Pass</v>
      </c>
      <c r="K6" s="1">
        <f>MIN(D2:D21)</f>
        <v>39</v>
      </c>
    </row>
    <row r="7" spans="1:12" x14ac:dyDescent="0.35">
      <c r="A7">
        <v>6</v>
      </c>
      <c r="B7" t="s">
        <v>10</v>
      </c>
      <c r="C7" t="s">
        <v>68</v>
      </c>
      <c r="D7" s="1">
        <v>85</v>
      </c>
      <c r="E7" t="str">
        <f t="shared" si="0"/>
        <v>Pass</v>
      </c>
      <c r="K7" t="s">
        <v>79</v>
      </c>
      <c r="L7" t="s">
        <v>21</v>
      </c>
    </row>
    <row r="8" spans="1:12" x14ac:dyDescent="0.35">
      <c r="A8">
        <v>7</v>
      </c>
      <c r="B8" t="s">
        <v>11</v>
      </c>
      <c r="C8" t="s">
        <v>69</v>
      </c>
      <c r="D8" s="1">
        <v>68</v>
      </c>
      <c r="E8" t="str">
        <f t="shared" si="0"/>
        <v>Pass</v>
      </c>
    </row>
    <row r="9" spans="1:12" x14ac:dyDescent="0.35">
      <c r="A9">
        <v>8</v>
      </c>
      <c r="B9" t="s">
        <v>12</v>
      </c>
      <c r="C9" t="s">
        <v>5</v>
      </c>
      <c r="D9" s="1">
        <v>74</v>
      </c>
      <c r="E9" t="str">
        <f t="shared" si="0"/>
        <v>Pass</v>
      </c>
    </row>
    <row r="10" spans="1:12" x14ac:dyDescent="0.35">
      <c r="A10">
        <v>9</v>
      </c>
      <c r="B10" t="s">
        <v>13</v>
      </c>
      <c r="C10" t="s">
        <v>64</v>
      </c>
      <c r="D10" s="1">
        <v>40</v>
      </c>
      <c r="E10" t="str">
        <f t="shared" si="0"/>
        <v>Pass</v>
      </c>
    </row>
    <row r="11" spans="1:12" x14ac:dyDescent="0.35">
      <c r="A11">
        <v>10</v>
      </c>
      <c r="B11" t="s">
        <v>14</v>
      </c>
      <c r="C11" t="s">
        <v>65</v>
      </c>
      <c r="D11" s="1">
        <v>65</v>
      </c>
      <c r="E11" t="str">
        <f t="shared" si="0"/>
        <v>Pass</v>
      </c>
    </row>
    <row r="12" spans="1:12" x14ac:dyDescent="0.35">
      <c r="A12">
        <v>11</v>
      </c>
      <c r="B12" t="s">
        <v>15</v>
      </c>
      <c r="C12" t="s">
        <v>66</v>
      </c>
      <c r="D12" s="1">
        <v>87</v>
      </c>
      <c r="E12" t="str">
        <f t="shared" si="0"/>
        <v>Pass</v>
      </c>
    </row>
    <row r="13" spans="1:12" x14ac:dyDescent="0.35">
      <c r="A13">
        <v>12</v>
      </c>
      <c r="B13" t="s">
        <v>16</v>
      </c>
      <c r="C13" t="s">
        <v>67</v>
      </c>
      <c r="D13" s="1">
        <v>43</v>
      </c>
      <c r="E13" t="str">
        <f t="shared" si="0"/>
        <v>Pass</v>
      </c>
    </row>
    <row r="14" spans="1:12" x14ac:dyDescent="0.35">
      <c r="A14">
        <v>13</v>
      </c>
      <c r="B14" t="s">
        <v>17</v>
      </c>
      <c r="C14" t="s">
        <v>68</v>
      </c>
      <c r="D14" s="1">
        <v>66</v>
      </c>
      <c r="E14" t="str">
        <f t="shared" si="0"/>
        <v>Pass</v>
      </c>
    </row>
    <row r="15" spans="1:12" x14ac:dyDescent="0.35">
      <c r="A15">
        <v>14</v>
      </c>
      <c r="B15" t="s">
        <v>18</v>
      </c>
      <c r="C15" t="s">
        <v>69</v>
      </c>
      <c r="D15" s="1">
        <v>78</v>
      </c>
      <c r="E15" t="str">
        <f t="shared" si="0"/>
        <v>Pass</v>
      </c>
    </row>
    <row r="16" spans="1:12" x14ac:dyDescent="0.35">
      <c r="A16">
        <v>15</v>
      </c>
      <c r="B16" t="s">
        <v>19</v>
      </c>
      <c r="C16" t="s">
        <v>5</v>
      </c>
      <c r="D16" s="1">
        <v>55</v>
      </c>
      <c r="E16" t="str">
        <f t="shared" si="0"/>
        <v>Pass</v>
      </c>
    </row>
    <row r="17" spans="1:5" x14ac:dyDescent="0.35">
      <c r="A17">
        <v>16</v>
      </c>
      <c r="B17" t="s">
        <v>20</v>
      </c>
      <c r="C17" t="s">
        <v>64</v>
      </c>
      <c r="D17" s="1">
        <v>48</v>
      </c>
      <c r="E17" t="str">
        <f t="shared" si="0"/>
        <v>Pass</v>
      </c>
    </row>
    <row r="18" spans="1:5" x14ac:dyDescent="0.35">
      <c r="A18">
        <v>17</v>
      </c>
      <c r="B18" t="s">
        <v>21</v>
      </c>
      <c r="C18" t="s">
        <v>65</v>
      </c>
      <c r="D18" s="1">
        <v>39</v>
      </c>
      <c r="E18" t="str">
        <f t="shared" si="0"/>
        <v>Fail</v>
      </c>
    </row>
    <row r="19" spans="1:5" x14ac:dyDescent="0.35">
      <c r="A19">
        <v>18</v>
      </c>
      <c r="B19" t="s">
        <v>22</v>
      </c>
      <c r="C19" t="s">
        <v>66</v>
      </c>
      <c r="D19" s="1">
        <v>49</v>
      </c>
      <c r="E19" t="str">
        <f t="shared" si="0"/>
        <v>Pass</v>
      </c>
    </row>
    <row r="20" spans="1:5" x14ac:dyDescent="0.35">
      <c r="A20">
        <v>19</v>
      </c>
      <c r="B20" t="s">
        <v>23</v>
      </c>
      <c r="C20" t="s">
        <v>67</v>
      </c>
      <c r="D20" s="1">
        <v>51.751633986928098</v>
      </c>
      <c r="E20" t="str">
        <f t="shared" si="0"/>
        <v>Pass</v>
      </c>
    </row>
    <row r="21" spans="1:5" x14ac:dyDescent="0.35">
      <c r="A21">
        <v>20</v>
      </c>
      <c r="B21" t="s">
        <v>24</v>
      </c>
      <c r="C21" t="s">
        <v>68</v>
      </c>
      <c r="D21" s="1">
        <v>50.719642242862101</v>
      </c>
      <c r="E21" t="str">
        <f t="shared" si="0"/>
        <v>Pass</v>
      </c>
    </row>
    <row r="22" spans="1:5" x14ac:dyDescent="0.35">
      <c r="A22">
        <v>21</v>
      </c>
      <c r="B22" t="s">
        <v>25</v>
      </c>
      <c r="C22" t="s">
        <v>69</v>
      </c>
      <c r="D22" s="1">
        <v>49.687650498796003</v>
      </c>
      <c r="E22" t="str">
        <f t="shared" si="0"/>
        <v>Pass</v>
      </c>
    </row>
    <row r="23" spans="1:5" x14ac:dyDescent="0.35">
      <c r="A23">
        <v>22</v>
      </c>
      <c r="B23" t="s">
        <v>26</v>
      </c>
      <c r="C23" t="s">
        <v>5</v>
      </c>
      <c r="D23" s="1">
        <v>48.655658754729998</v>
      </c>
      <c r="E23" t="str">
        <f t="shared" si="0"/>
        <v>Pass</v>
      </c>
    </row>
    <row r="24" spans="1:5" x14ac:dyDescent="0.35">
      <c r="A24">
        <v>23</v>
      </c>
      <c r="B24" t="s">
        <v>27</v>
      </c>
      <c r="C24" t="s">
        <v>64</v>
      </c>
      <c r="D24" s="1">
        <v>47.623667010664001</v>
      </c>
      <c r="E24" t="str">
        <f t="shared" si="0"/>
        <v>Pass</v>
      </c>
    </row>
    <row r="25" spans="1:5" x14ac:dyDescent="0.35">
      <c r="A25">
        <v>24</v>
      </c>
      <c r="B25" t="s">
        <v>28</v>
      </c>
      <c r="C25" t="s">
        <v>65</v>
      </c>
      <c r="D25" s="1">
        <v>46.591675266597903</v>
      </c>
      <c r="E25" t="str">
        <f t="shared" si="0"/>
        <v>Pass</v>
      </c>
    </row>
    <row r="26" spans="1:5" x14ac:dyDescent="0.35">
      <c r="A26">
        <v>25</v>
      </c>
      <c r="B26" t="s">
        <v>29</v>
      </c>
      <c r="C26" t="s">
        <v>66</v>
      </c>
      <c r="D26" s="1">
        <v>45.559683522531898</v>
      </c>
      <c r="E26" t="str">
        <f t="shared" si="0"/>
        <v>Pass</v>
      </c>
    </row>
    <row r="27" spans="1:5" x14ac:dyDescent="0.35">
      <c r="A27">
        <v>26</v>
      </c>
      <c r="B27" t="s">
        <v>30</v>
      </c>
      <c r="C27" t="s">
        <v>67</v>
      </c>
      <c r="D27" s="1">
        <v>44.527691778465801</v>
      </c>
      <c r="E27" t="str">
        <f t="shared" si="0"/>
        <v>Pass</v>
      </c>
    </row>
    <row r="28" spans="1:5" x14ac:dyDescent="0.35">
      <c r="A28">
        <v>27</v>
      </c>
      <c r="B28" t="s">
        <v>31</v>
      </c>
      <c r="C28" t="s">
        <v>68</v>
      </c>
      <c r="D28" s="1">
        <v>43.495700034399803</v>
      </c>
      <c r="E28" t="str">
        <f t="shared" si="0"/>
        <v>Pass</v>
      </c>
    </row>
    <row r="29" spans="1:5" x14ac:dyDescent="0.35">
      <c r="A29">
        <v>28</v>
      </c>
      <c r="B29" t="s">
        <v>32</v>
      </c>
      <c r="C29" t="s">
        <v>69</v>
      </c>
      <c r="D29" s="1">
        <v>42.463708290333699</v>
      </c>
      <c r="E29" t="str">
        <f t="shared" si="0"/>
        <v>Pass</v>
      </c>
    </row>
    <row r="30" spans="1:5" x14ac:dyDescent="0.35">
      <c r="A30">
        <v>29</v>
      </c>
      <c r="B30" t="s">
        <v>33</v>
      </c>
      <c r="C30" t="s">
        <v>5</v>
      </c>
      <c r="D30" s="1">
        <v>41.431716546267701</v>
      </c>
      <c r="E30" t="str">
        <f t="shared" si="0"/>
        <v>Pass</v>
      </c>
    </row>
    <row r="31" spans="1:5" x14ac:dyDescent="0.35">
      <c r="A31">
        <v>30</v>
      </c>
      <c r="B31" t="s">
        <v>34</v>
      </c>
      <c r="C31" t="s">
        <v>64</v>
      </c>
      <c r="D31" s="1">
        <v>40.399724802201597</v>
      </c>
      <c r="E31" t="str">
        <f t="shared" si="0"/>
        <v>Pass</v>
      </c>
    </row>
    <row r="32" spans="1:5" x14ac:dyDescent="0.35">
      <c r="A32">
        <v>31</v>
      </c>
      <c r="B32" t="s">
        <v>35</v>
      </c>
      <c r="C32" t="s">
        <v>65</v>
      </c>
      <c r="D32" s="1">
        <v>39.367733058135599</v>
      </c>
      <c r="E32" t="str">
        <f t="shared" si="0"/>
        <v>Fail</v>
      </c>
    </row>
    <row r="33" spans="1:5" x14ac:dyDescent="0.35">
      <c r="A33">
        <v>32</v>
      </c>
      <c r="B33" t="s">
        <v>36</v>
      </c>
      <c r="C33" t="s">
        <v>66</v>
      </c>
      <c r="D33" s="1">
        <v>38.335741314069502</v>
      </c>
      <c r="E33" t="str">
        <f t="shared" si="0"/>
        <v>Fail</v>
      </c>
    </row>
    <row r="34" spans="1:5" x14ac:dyDescent="0.35">
      <c r="A34">
        <v>33</v>
      </c>
      <c r="B34" t="s">
        <v>7</v>
      </c>
      <c r="C34" t="s">
        <v>67</v>
      </c>
      <c r="D34" s="1">
        <v>37.303749570003497</v>
      </c>
      <c r="E34" t="str">
        <f t="shared" si="0"/>
        <v>Fail</v>
      </c>
    </row>
    <row r="35" spans="1:5" x14ac:dyDescent="0.35">
      <c r="A35">
        <v>34</v>
      </c>
      <c r="B35" t="s">
        <v>37</v>
      </c>
      <c r="C35" t="s">
        <v>68</v>
      </c>
      <c r="D35" s="1">
        <v>36.271757825937399</v>
      </c>
      <c r="E35" t="str">
        <f t="shared" si="0"/>
        <v>Fail</v>
      </c>
    </row>
    <row r="36" spans="1:5" x14ac:dyDescent="0.35">
      <c r="A36">
        <v>35</v>
      </c>
      <c r="B36" t="s">
        <v>38</v>
      </c>
      <c r="C36" t="s">
        <v>69</v>
      </c>
      <c r="D36" s="1">
        <v>35.239766081871402</v>
      </c>
      <c r="E36" t="str">
        <f t="shared" si="0"/>
        <v>Fail</v>
      </c>
    </row>
    <row r="37" spans="1:5" x14ac:dyDescent="0.35">
      <c r="A37">
        <v>36</v>
      </c>
      <c r="B37" t="s">
        <v>39</v>
      </c>
      <c r="C37" t="s">
        <v>5</v>
      </c>
      <c r="D37" s="1">
        <v>34.207774337805297</v>
      </c>
      <c r="E37" t="str">
        <f t="shared" si="0"/>
        <v>Fail</v>
      </c>
    </row>
    <row r="38" spans="1:5" x14ac:dyDescent="0.35">
      <c r="A38">
        <v>37</v>
      </c>
      <c r="B38" t="s">
        <v>40</v>
      </c>
      <c r="C38" t="s">
        <v>64</v>
      </c>
      <c r="D38" s="1">
        <v>33.175782593739299</v>
      </c>
      <c r="E38" t="str">
        <f t="shared" si="0"/>
        <v>Fail</v>
      </c>
    </row>
    <row r="39" spans="1:5" x14ac:dyDescent="0.35">
      <c r="A39">
        <v>38</v>
      </c>
      <c r="B39" t="s">
        <v>41</v>
      </c>
      <c r="C39" t="s">
        <v>65</v>
      </c>
      <c r="D39" s="1">
        <v>32.143790849673202</v>
      </c>
      <c r="E39" t="str">
        <f t="shared" si="0"/>
        <v>Fail</v>
      </c>
    </row>
    <row r="40" spans="1:5" x14ac:dyDescent="0.35">
      <c r="A40">
        <v>39</v>
      </c>
      <c r="B40" t="s">
        <v>42</v>
      </c>
      <c r="C40" t="s">
        <v>66</v>
      </c>
      <c r="D40" s="1">
        <v>31.111799105607201</v>
      </c>
      <c r="E40" t="str">
        <f t="shared" si="0"/>
        <v>Fail</v>
      </c>
    </row>
    <row r="41" spans="1:5" x14ac:dyDescent="0.35">
      <c r="A41">
        <v>40</v>
      </c>
      <c r="B41" t="s">
        <v>43</v>
      </c>
      <c r="C41" t="s">
        <v>67</v>
      </c>
      <c r="D41" s="1">
        <v>30.0798073615411</v>
      </c>
      <c r="E41" t="str">
        <f t="shared" si="0"/>
        <v>Fail</v>
      </c>
    </row>
    <row r="42" spans="1:5" x14ac:dyDescent="0.35">
      <c r="A42">
        <v>41</v>
      </c>
      <c r="B42" t="s">
        <v>44</v>
      </c>
      <c r="C42" t="s">
        <v>68</v>
      </c>
      <c r="D42" s="1">
        <v>29.047815617475099</v>
      </c>
      <c r="E42" t="str">
        <f t="shared" si="0"/>
        <v>Fail</v>
      </c>
    </row>
    <row r="43" spans="1:5" x14ac:dyDescent="0.35">
      <c r="A43">
        <v>42</v>
      </c>
      <c r="B43" t="s">
        <v>45</v>
      </c>
      <c r="C43" t="s">
        <v>69</v>
      </c>
      <c r="D43" s="1">
        <v>28.015823873409101</v>
      </c>
      <c r="E43" t="str">
        <f t="shared" si="0"/>
        <v>Fail</v>
      </c>
    </row>
    <row r="44" spans="1:5" x14ac:dyDescent="0.35">
      <c r="A44">
        <v>43</v>
      </c>
      <c r="B44" t="s">
        <v>46</v>
      </c>
      <c r="C44" t="s">
        <v>5</v>
      </c>
      <c r="D44" s="1">
        <v>26.983832129343</v>
      </c>
      <c r="E44" t="str">
        <f t="shared" si="0"/>
        <v>Fail</v>
      </c>
    </row>
    <row r="45" spans="1:5" x14ac:dyDescent="0.35">
      <c r="A45">
        <v>44</v>
      </c>
      <c r="B45" t="s">
        <v>47</v>
      </c>
      <c r="C45" t="s">
        <v>64</v>
      </c>
      <c r="D45" s="1">
        <v>25.951840385276999</v>
      </c>
      <c r="E45" t="str">
        <f t="shared" si="0"/>
        <v>Fail</v>
      </c>
    </row>
    <row r="46" spans="1:5" x14ac:dyDescent="0.35">
      <c r="A46">
        <v>45</v>
      </c>
      <c r="B46" t="s">
        <v>48</v>
      </c>
      <c r="C46" t="s">
        <v>65</v>
      </c>
      <c r="D46" s="1">
        <v>24.919848641210901</v>
      </c>
      <c r="E46" t="str">
        <f t="shared" si="0"/>
        <v>Fail</v>
      </c>
    </row>
    <row r="47" spans="1:5" x14ac:dyDescent="0.35">
      <c r="A47">
        <v>46</v>
      </c>
      <c r="B47" t="s">
        <v>49</v>
      </c>
      <c r="C47" t="s">
        <v>66</v>
      </c>
      <c r="D47" s="1">
        <v>23.8878568971449</v>
      </c>
      <c r="E47" t="str">
        <f t="shared" si="0"/>
        <v>Fail</v>
      </c>
    </row>
    <row r="48" spans="1:5" x14ac:dyDescent="0.35">
      <c r="A48">
        <v>47</v>
      </c>
      <c r="B48" t="s">
        <v>50</v>
      </c>
      <c r="C48" t="s">
        <v>67</v>
      </c>
      <c r="D48" s="1">
        <v>22.855865153078799</v>
      </c>
      <c r="E48" t="str">
        <f t="shared" si="0"/>
        <v>Fail</v>
      </c>
    </row>
    <row r="49" spans="1:5" x14ac:dyDescent="0.35">
      <c r="A49">
        <v>48</v>
      </c>
      <c r="B49" t="s">
        <v>51</v>
      </c>
      <c r="C49" t="s">
        <v>68</v>
      </c>
      <c r="D49" s="1">
        <v>21.823873409012801</v>
      </c>
      <c r="E49" t="str">
        <f t="shared" si="0"/>
        <v>Fail</v>
      </c>
    </row>
    <row r="50" spans="1:5" x14ac:dyDescent="0.35">
      <c r="A50">
        <v>49</v>
      </c>
      <c r="B50" t="s">
        <v>52</v>
      </c>
      <c r="C50" t="s">
        <v>69</v>
      </c>
      <c r="D50" s="1">
        <v>55</v>
      </c>
      <c r="E50" t="str">
        <f t="shared" si="0"/>
        <v>Pass</v>
      </c>
    </row>
    <row r="51" spans="1:5" x14ac:dyDescent="0.35">
      <c r="A51">
        <v>50</v>
      </c>
      <c r="B51" t="s">
        <v>53</v>
      </c>
      <c r="C51" t="s">
        <v>5</v>
      </c>
      <c r="D51" s="1">
        <v>19.759889920880699</v>
      </c>
      <c r="E51" t="str">
        <f t="shared" si="0"/>
        <v>Fail</v>
      </c>
    </row>
    <row r="52" spans="1:5" x14ac:dyDescent="0.35">
      <c r="A52">
        <v>51</v>
      </c>
      <c r="B52" t="s">
        <v>54</v>
      </c>
      <c r="C52" t="s">
        <v>64</v>
      </c>
      <c r="D52" s="1">
        <v>58</v>
      </c>
      <c r="E52" t="str">
        <f t="shared" si="0"/>
        <v>Pass</v>
      </c>
    </row>
    <row r="53" spans="1:5" x14ac:dyDescent="0.35">
      <c r="A53">
        <v>52</v>
      </c>
      <c r="B53" t="s">
        <v>55</v>
      </c>
      <c r="C53" t="s">
        <v>65</v>
      </c>
      <c r="D53" s="1">
        <v>17.6959064327486</v>
      </c>
      <c r="E53" t="str">
        <f t="shared" si="0"/>
        <v>Fail</v>
      </c>
    </row>
    <row r="54" spans="1:5" x14ac:dyDescent="0.35">
      <c r="A54">
        <v>53</v>
      </c>
      <c r="B54" t="s">
        <v>56</v>
      </c>
      <c r="C54" t="s">
        <v>66</v>
      </c>
      <c r="D54" s="1">
        <v>67</v>
      </c>
      <c r="E54" t="str">
        <f t="shared" si="0"/>
        <v>Pass</v>
      </c>
    </row>
    <row r="55" spans="1:5" x14ac:dyDescent="0.35">
      <c r="A55">
        <v>54</v>
      </c>
      <c r="B55" t="s">
        <v>57</v>
      </c>
      <c r="C55" t="s">
        <v>67</v>
      </c>
      <c r="D55" s="1">
        <v>78</v>
      </c>
      <c r="E55" t="str">
        <f t="shared" si="0"/>
        <v>Pass</v>
      </c>
    </row>
    <row r="56" spans="1:5" x14ac:dyDescent="0.35">
      <c r="A56">
        <v>55</v>
      </c>
      <c r="B56" t="s">
        <v>58</v>
      </c>
      <c r="C56" t="s">
        <v>68</v>
      </c>
      <c r="D56" s="1">
        <v>48</v>
      </c>
      <c r="E56" t="str">
        <f t="shared" si="0"/>
        <v>Pass</v>
      </c>
    </row>
    <row r="57" spans="1:5" x14ac:dyDescent="0.35">
      <c r="A57">
        <v>56</v>
      </c>
      <c r="B57" t="s">
        <v>59</v>
      </c>
      <c r="C57" t="s">
        <v>69</v>
      </c>
      <c r="D57" s="1">
        <v>13.5679394564844</v>
      </c>
      <c r="E57" t="str">
        <f t="shared" si="0"/>
        <v>Fail</v>
      </c>
    </row>
    <row r="58" spans="1:5" x14ac:dyDescent="0.35">
      <c r="A58">
        <v>57</v>
      </c>
      <c r="B58" t="s">
        <v>60</v>
      </c>
      <c r="C58" t="s">
        <v>5</v>
      </c>
      <c r="D58" s="1">
        <v>50</v>
      </c>
      <c r="E58" t="str">
        <f t="shared" si="0"/>
        <v>Pass</v>
      </c>
    </row>
    <row r="59" spans="1:5" x14ac:dyDescent="0.35">
      <c r="A59">
        <v>58</v>
      </c>
      <c r="B59" t="s">
        <v>61</v>
      </c>
      <c r="C59" t="s">
        <v>64</v>
      </c>
      <c r="D59" s="1">
        <v>11.503955968352299</v>
      </c>
      <c r="E59" t="str">
        <f t="shared" si="0"/>
        <v>Fail</v>
      </c>
    </row>
    <row r="60" spans="1:5" x14ac:dyDescent="0.35">
      <c r="A60">
        <v>59</v>
      </c>
      <c r="B60" t="s">
        <v>62</v>
      </c>
      <c r="C60" t="s">
        <v>65</v>
      </c>
      <c r="D60" s="1">
        <v>10.4719642242862</v>
      </c>
      <c r="E60" t="str">
        <f t="shared" si="0"/>
        <v>Fail</v>
      </c>
    </row>
    <row r="61" spans="1:5" x14ac:dyDescent="0.35">
      <c r="A61">
        <v>60</v>
      </c>
      <c r="B61" t="s">
        <v>63</v>
      </c>
      <c r="C61" t="s">
        <v>66</v>
      </c>
      <c r="D61" s="1">
        <v>9.4399724802201597</v>
      </c>
      <c r="E61" t="str">
        <f t="shared" si="0"/>
        <v>Fail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Badurunnisa</dc:creator>
  <cp:lastModifiedBy>Mohammad Badurunnisa</cp:lastModifiedBy>
  <dcterms:created xsi:type="dcterms:W3CDTF">2026-01-10T07:01:53Z</dcterms:created>
  <dcterms:modified xsi:type="dcterms:W3CDTF">2026-01-10T08:32:26Z</dcterms:modified>
</cp:coreProperties>
</file>